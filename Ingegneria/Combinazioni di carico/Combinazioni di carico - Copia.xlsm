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\Progetti Excel\Ingegneria\Combinazioni di carico\"/>
    </mc:Choice>
  </mc:AlternateContent>
  <xr:revisionPtr revIDLastSave="0" documentId="13_ncr:1_{D97D49A8-7F1E-4075-9505-E1F444E4847F}" xr6:coauthVersionLast="47" xr6:coauthVersionMax="47" xr10:uidLastSave="{00000000-0000-0000-0000-000000000000}"/>
  <bookViews>
    <workbookView xWindow="-23148" yWindow="-1884" windowWidth="23256" windowHeight="12576" activeTab="2" xr2:uid="{EA4A9859-D27C-44F4-9329-52AC4655CCF8}"/>
  </bookViews>
  <sheets>
    <sheet name="Convalida Dati" sheetId="3" r:id="rId1"/>
    <sheet name="Normativa (NTC2018)" sheetId="2" r:id="rId2"/>
    <sheet name="Combinazioni" sheetId="1" r:id="rId3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3" l="1"/>
  <c r="A29" i="3"/>
  <c r="C28" i="3"/>
  <c r="A28" i="3"/>
  <c r="C27" i="3"/>
  <c r="A27" i="3"/>
  <c r="C26" i="3"/>
  <c r="A26" i="3"/>
  <c r="C25" i="3"/>
  <c r="A25" i="3"/>
  <c r="C24" i="3"/>
  <c r="A24" i="3"/>
  <c r="C23" i="3"/>
  <c r="A23" i="3"/>
  <c r="C22" i="3"/>
  <c r="A22" i="3"/>
  <c r="C21" i="3"/>
  <c r="A21" i="3"/>
  <c r="C20" i="3"/>
  <c r="A20" i="3"/>
  <c r="C19" i="3"/>
  <c r="A19" i="3"/>
  <c r="C18" i="3"/>
  <c r="A18" i="3"/>
  <c r="C17" i="3"/>
  <c r="A17" i="3"/>
  <c r="C16" i="3"/>
  <c r="A16" i="3"/>
  <c r="C15" i="3"/>
  <c r="A15" i="3"/>
  <c r="C14" i="3"/>
  <c r="A14" i="3"/>
  <c r="C13" i="3"/>
  <c r="A13" i="3"/>
  <c r="C12" i="3"/>
  <c r="A12" i="3"/>
  <c r="C11" i="3"/>
  <c r="A11" i="3"/>
  <c r="C10" i="3"/>
  <c r="A10" i="3"/>
  <c r="C9" i="3"/>
  <c r="A9" i="3"/>
  <c r="C8" i="3"/>
  <c r="A8" i="3"/>
  <c r="C7" i="3"/>
  <c r="A7" i="3"/>
  <c r="C6" i="3"/>
  <c r="A6" i="3"/>
  <c r="C5" i="3"/>
  <c r="A5" i="3"/>
  <c r="C4" i="3"/>
  <c r="A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G1" authorId="0" shapeId="0" xr:uid="{F570E0C7-9370-479F-8A17-FE892D62D60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AO1" authorId="0" shapeId="0" xr:uid="{C3BC5ACB-B5F3-4CF5-AD53-00D048F10035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AW1" authorId="0" shapeId="0" xr:uid="{C51AEBB4-BE2F-4963-87DD-E37437A147E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BE1" authorId="0" shapeId="0" xr:uid="{9A894E58-3ACA-4BFE-A37C-7286B7FCA57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
</t>
        </r>
      </text>
    </comment>
    <comment ref="BM1" authorId="0" shapeId="0" xr:uid="{481AA59C-CA82-4D9E-928B-2B9F2061103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D3" authorId="0" shapeId="0" xr:uid="{CF4C5B8C-32CF-4DDB-8209-4290766B421E}">
      <text>
        <r>
          <rPr>
            <b/>
            <sz val="9"/>
            <color indexed="81"/>
            <rFont val="Tahoma"/>
            <family val="2"/>
          </rPr>
          <t>Start Cell</t>
        </r>
      </text>
    </comment>
    <comment ref="J3" authorId="0" shapeId="0" xr:uid="{5B3D3600-D40F-45D8-8017-26287E0FE3D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
</t>
        </r>
      </text>
    </comment>
    <comment ref="P3" authorId="0" shapeId="0" xr:uid="{E60DB5CF-20DF-482C-991C-EC43780D7DF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</t>
        </r>
      </text>
    </comment>
    <comment ref="Y3" authorId="0" shapeId="0" xr:uid="{5703B3A2-E4B2-482D-8A69-882891D487B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Start Cell
</t>
        </r>
      </text>
    </comment>
  </commentList>
</comments>
</file>

<file path=xl/sharedStrings.xml><?xml version="1.0" encoding="utf-8"?>
<sst xmlns="http://schemas.openxmlformats.org/spreadsheetml/2006/main" count="261" uniqueCount="122">
  <si>
    <t>Categoria</t>
  </si>
  <si>
    <t>Condizione</t>
  </si>
  <si>
    <t>kN</t>
  </si>
  <si>
    <t>-</t>
  </si>
  <si>
    <t>Azione permanente strutturale</t>
  </si>
  <si>
    <t>Azione permanente non strutturale</t>
  </si>
  <si>
    <t>Azione Variabile</t>
  </si>
  <si>
    <t>N°</t>
  </si>
  <si>
    <t>[TOT]</t>
  </si>
  <si>
    <t>Combo</t>
  </si>
  <si>
    <t>Carico principale</t>
  </si>
  <si>
    <t>q</t>
  </si>
  <si>
    <t>Stato</t>
  </si>
  <si>
    <t>Combinazioni SLE Caratteristica (Rara)</t>
  </si>
  <si>
    <t>Combinazioni SLE Frequente</t>
  </si>
  <si>
    <t>Variazioni termiche</t>
  </si>
  <si>
    <t>Vento</t>
  </si>
  <si>
    <t>EQU</t>
  </si>
  <si>
    <t>Categoria / Azione variabile</t>
  </si>
  <si>
    <t>Categoria A - Ambienti ad uso residenziale</t>
  </si>
  <si>
    <t>Categoria B - Uffici</t>
  </si>
  <si>
    <t>Categoria C - Ambienti suscettibili di affollamento</t>
  </si>
  <si>
    <t>Categoria D - Ambienti ad uso commerciale</t>
  </si>
  <si>
    <t>Categoria F - Rimesse , parcheggi ed aree per il traffico di veicoli (per autoveicoli di peso ≤ 30 kN)</t>
  </si>
  <si>
    <t>Categoria G - Rimesse, parcheggi ed aree per il traffico di veicoli (per autoveicoli di peso &gt; 30 kN)</t>
  </si>
  <si>
    <t>Categoria H - Coperture accessibili per sola manutenzione</t>
  </si>
  <si>
    <t>Categoria I - Coperture praticabili</t>
  </si>
  <si>
    <t>Neve (a quota ≤ 1000 m s.l.m.)</t>
  </si>
  <si>
    <t>Neve (a quota &gt; 1000 m s.l.m.)</t>
  </si>
  <si>
    <t>da valutarsi caso per caso</t>
  </si>
  <si>
    <t>Carichi permanenti G1</t>
  </si>
  <si>
    <t>Azioni variabili Q</t>
  </si>
  <si>
    <t>Favorevoli</t>
  </si>
  <si>
    <t>Sfavorevoli</t>
  </si>
  <si>
    <t>γF</t>
  </si>
  <si>
    <t>A1</t>
  </si>
  <si>
    <t>A2</t>
  </si>
  <si>
    <t>Carichi permanenti non strutturali G2 (°)</t>
  </si>
  <si>
    <t xml:space="preserve">(*) Nel caso in cui l’intensità dei carichi permanenti non strutturali o di una parte di essi (ad es. carichi permanenti portati) sia ben definita in fase di progetto, per detti carichi o per la parte di essi nota si potranno adottare gli stessi coefficienti parziali validi per le azioni permanenti. </t>
  </si>
  <si>
    <t>Combinazione delle azioni</t>
  </si>
  <si>
    <t>Ai fini delle verifiche degli stati limite, si definiscono le seguenti combinazioni delle azioni.</t>
  </si>
  <si>
    <r>
      <t xml:space="preserve">− </t>
    </r>
    <r>
      <rPr>
        <b/>
        <sz val="11"/>
        <color theme="1"/>
        <rFont val="Calibri"/>
        <family val="2"/>
        <scheme val="minor"/>
      </rPr>
      <t>Combinazione fondamentale</t>
    </r>
    <r>
      <rPr>
        <sz val="11"/>
        <color theme="1"/>
        <rFont val="Calibri"/>
        <family val="2"/>
        <scheme val="minor"/>
      </rPr>
      <t>, generalmente impiegata per gli stati limite ultimi (</t>
    </r>
    <r>
      <rPr>
        <b/>
        <sz val="11"/>
        <color theme="1"/>
        <rFont val="Calibri"/>
        <family val="2"/>
        <scheme val="minor"/>
      </rPr>
      <t>SLU</t>
    </r>
    <r>
      <rPr>
        <sz val="11"/>
        <color theme="1"/>
        <rFont val="Calibri"/>
        <family val="2"/>
        <scheme val="minor"/>
      </rPr>
      <t>):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</si>
  <si>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caratteristica</t>
    </r>
    <r>
      <rPr>
        <sz val="11"/>
        <color theme="1"/>
        <rFont val="Calibri"/>
        <family val="2"/>
        <scheme val="minor"/>
      </rPr>
      <t xml:space="preserve">, cosiddetta </t>
    </r>
    <r>
      <rPr>
        <b/>
        <sz val="11"/>
        <color theme="1"/>
        <rFont val="Calibri"/>
        <family val="2"/>
        <scheme val="minor"/>
      </rPr>
      <t>rara</t>
    </r>
    <r>
      <rPr>
        <sz val="11"/>
        <color theme="1"/>
        <rFont val="Calibri"/>
        <family val="2"/>
        <scheme val="minor"/>
      </rPr>
      <t>, generalmente impiegata per gli stati limite di esercizio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 irreversibili: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</si>
  <si>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frequente</t>
    </r>
    <r>
      <rPr>
        <sz val="11"/>
        <color theme="1"/>
        <rFont val="Calibri"/>
        <family val="2"/>
        <scheme val="minor"/>
      </rPr>
      <t>, generalmente impiegata per gli stati limite di esercizio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 reversibili: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</si>
  <si>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quasi permanente</t>
    </r>
    <r>
      <rPr>
        <sz val="11"/>
        <color theme="1"/>
        <rFont val="Calibri"/>
        <family val="2"/>
        <scheme val="minor"/>
      </rPr>
      <t xml:space="preserve">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), generalmente impiegata per gli effetti a lungo termine: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</si>
  <si>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sismica</t>
    </r>
    <r>
      <rPr>
        <sz val="11"/>
        <color theme="1"/>
        <rFont val="Calibri"/>
        <family val="2"/>
        <scheme val="minor"/>
      </rPr>
      <t xml:space="preserve">, impiegata per gli </t>
    </r>
    <r>
      <rPr>
        <b/>
        <sz val="11"/>
        <color theme="1"/>
        <rFont val="Calibri"/>
        <family val="2"/>
        <scheme val="minor"/>
      </rPr>
      <t>stati limite ultimi e di esercizio</t>
    </r>
    <r>
      <rPr>
        <sz val="11"/>
        <color theme="1"/>
        <rFont val="Calibri"/>
        <family val="2"/>
        <scheme val="minor"/>
      </rPr>
      <t xml:space="preserve"> connessi all’azione sismica E: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</si>
  <si>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eccezionale</t>
    </r>
    <r>
      <rPr>
        <sz val="11"/>
        <color theme="1"/>
        <rFont val="Calibri"/>
        <family val="2"/>
        <scheme val="minor"/>
      </rPr>
      <t xml:space="preserve">, impiegata per gli </t>
    </r>
    <r>
      <rPr>
        <b/>
        <sz val="11"/>
        <color theme="1"/>
        <rFont val="Calibri"/>
        <family val="2"/>
        <scheme val="minor"/>
      </rPr>
      <t>stati limite ultimi</t>
    </r>
    <r>
      <rPr>
        <sz val="11"/>
        <color theme="1"/>
        <rFont val="Calibri"/>
        <family val="2"/>
        <scheme val="minor"/>
      </rPr>
      <t xml:space="preserve"> connessi alle azioni eccezionali A:</t>
    </r>
  </si>
  <si>
    <t>Gli effetti dell'azione sismica saranno valutati tenendo conto delle masse associate ai seguenti carichi gravitazionali:</t>
  </si>
  <si>
    <t>Altre combinazioni sono da considerare in funzione di specifici aspetti (p. es. fatica, ecc.).</t>
  </si>
  <si>
    <r>
      <t xml:space="preserve">Nelle formule sopra riportate il simbolo “+” vuol dire </t>
    </r>
    <r>
      <rPr>
        <i/>
        <sz val="11"/>
        <color theme="1"/>
        <rFont val="Calibri"/>
        <family val="2"/>
        <scheme val="minor"/>
      </rPr>
      <t>“combinato con”</t>
    </r>
    <r>
      <rPr>
        <sz val="11"/>
        <color theme="1"/>
        <rFont val="Calibri"/>
        <family val="2"/>
        <scheme val="minor"/>
      </rPr>
      <t>.</t>
    </r>
  </si>
  <si>
    <t>[2.5.1]</t>
  </si>
  <si>
    <t>[2.5.2]</t>
  </si>
  <si>
    <t>[2.5.3]</t>
  </si>
  <si>
    <t>[2.5.4]</t>
  </si>
  <si>
    <t>[2.5.5]</t>
  </si>
  <si>
    <t>[2.5.6]</t>
  </si>
  <si>
    <t>[2.5.7]</t>
  </si>
  <si>
    <r>
      <t>γ</t>
    </r>
    <r>
      <rPr>
        <vertAlign val="subscript"/>
        <sz val="14"/>
        <color theme="1"/>
        <rFont val="Calibri"/>
        <family val="2"/>
        <scheme val="minor"/>
      </rPr>
      <t>G1</t>
    </r>
    <r>
      <rPr>
        <sz val="14"/>
        <color theme="1"/>
        <rFont val="Calibri"/>
        <family val="2"/>
      </rPr>
      <t>·G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γ</t>
    </r>
    <r>
      <rPr>
        <vertAlign val="subscript"/>
        <sz val="14"/>
        <color theme="1"/>
        <rFont val="Calibri"/>
        <family val="2"/>
      </rPr>
      <t>G2</t>
    </r>
    <r>
      <rPr>
        <sz val="14"/>
        <color theme="1"/>
        <rFont val="Calibri"/>
        <family val="2"/>
      </rPr>
      <t>·G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P</t>
    </r>
    <r>
      <rPr>
        <sz val="14"/>
        <color theme="1"/>
        <rFont val="Calibri"/>
        <family val="2"/>
      </rPr>
      <t>·P + γ</t>
    </r>
    <r>
      <rPr>
        <vertAlign val="subscript"/>
        <sz val="14"/>
        <color theme="1"/>
        <rFont val="Calibri"/>
        <family val="2"/>
      </rPr>
      <t>Q1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Q2</t>
    </r>
    <r>
      <rPr>
        <sz val="14"/>
        <color theme="1"/>
        <rFont val="Calibri"/>
        <family val="2"/>
      </rPr>
      <t>·ψ</t>
    </r>
    <r>
      <rPr>
        <vertAlign val="subscript"/>
        <sz val="14"/>
        <color theme="1"/>
        <rFont val="Calibri"/>
        <family val="2"/>
      </rPr>
      <t>0,2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Q3</t>
    </r>
    <r>
      <rPr>
        <sz val="14"/>
        <color theme="1"/>
        <rFont val="Calibri"/>
        <family val="2"/>
      </rPr>
      <t>·ψ</t>
    </r>
    <r>
      <rPr>
        <vertAlign val="subscript"/>
        <sz val="14"/>
        <color theme="1"/>
        <rFont val="Calibri"/>
        <family val="2"/>
      </rPr>
      <t>0,3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</si>
  <si>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rPr>
        <b/>
        <sz val="11"/>
        <color theme="1"/>
        <rFont val="Calibri"/>
        <family val="2"/>
        <scheme val="minor"/>
      </rPr>
      <t>Tab. 2.5.I</t>
    </r>
    <r>
      <rPr>
        <sz val="11"/>
        <color theme="1"/>
        <rFont val="Calibri"/>
        <family val="2"/>
        <scheme val="minor"/>
      </rPr>
      <t xml:space="preserve"> – Valore dei coefficienti di combinazione ψ</t>
    </r>
  </si>
  <si>
    <r>
      <rPr>
        <b/>
        <sz val="11"/>
        <color theme="1"/>
        <rFont val="Calibri"/>
        <family val="2"/>
        <scheme val="minor"/>
      </rPr>
      <t>Tab. 2.6.I</t>
    </r>
    <r>
      <rPr>
        <sz val="11"/>
        <color theme="1"/>
        <rFont val="Calibri"/>
        <family val="2"/>
        <scheme val="minor"/>
      </rPr>
      <t xml:space="preserve"> – Coefficienti parziali  γ per le azioni o per l'effetto delle azioni nelle verifiche SLU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</si>
  <si>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0,2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0,3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</si>
  <si>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1,1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</si>
  <si>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</si>
  <si>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E  +  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</si>
  <si>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A</t>
    </r>
    <r>
      <rPr>
        <vertAlign val="subscript"/>
        <sz val="14"/>
        <color theme="1"/>
        <rFont val="Calibri"/>
        <family val="2"/>
      </rPr>
      <t>d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</si>
  <si>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</t>
    </r>
    <r>
      <rPr>
        <sz val="14"/>
        <color theme="1"/>
        <rFont val="TI-Nspire"/>
        <family val="1"/>
      </rPr>
      <t>∑</t>
    </r>
    <r>
      <rPr>
        <sz val="14"/>
        <color theme="1"/>
        <rFont val="Calibri"/>
        <family val="2"/>
      </rPr>
      <t xml:space="preserve"> ψ</t>
    </r>
    <r>
      <rPr>
        <vertAlign val="subscript"/>
        <sz val="14"/>
        <color theme="1"/>
        <rFont val="Calibri"/>
        <family val="2"/>
      </rPr>
      <t>2,j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k,j</t>
    </r>
  </si>
  <si>
    <r>
      <t>Nelle combinazioni si intende che vengano omessi i carichi Q</t>
    </r>
    <r>
      <rPr>
        <vertAlign val="subscript"/>
        <sz val="11"/>
        <color theme="1"/>
        <rFont val="Calibri"/>
        <family val="2"/>
        <scheme val="minor"/>
      </rPr>
      <t>k,j</t>
    </r>
    <r>
      <rPr>
        <sz val="11"/>
        <color theme="1"/>
        <rFont val="Calibri"/>
        <family val="2"/>
        <scheme val="minor"/>
      </rPr>
      <t xml:space="preserve"> che danno un contributo favorevole ai fini delle verifiche e, se del caso, i carichi G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</si>
  <si>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>I valori dei coefficienti ψ</t>
    </r>
    <r>
      <rPr>
        <vertAlign val="subscript"/>
        <sz val="11"/>
        <color theme="1"/>
        <rFont val="Calibri"/>
        <family val="2"/>
        <scheme val="minor"/>
      </rPr>
      <t>0,j</t>
    </r>
    <r>
      <rPr>
        <sz val="11"/>
        <color theme="1"/>
        <rFont val="Calibri"/>
        <family val="2"/>
        <scheme val="minor"/>
      </rPr>
      <t>, ψ</t>
    </r>
    <r>
      <rPr>
        <vertAlign val="subscript"/>
        <sz val="11"/>
        <color theme="1"/>
        <rFont val="Calibri"/>
        <family val="2"/>
        <scheme val="minor"/>
      </rPr>
      <t>1,j</t>
    </r>
    <r>
      <rPr>
        <sz val="11"/>
        <color theme="1"/>
        <rFont val="Calibri"/>
        <family val="2"/>
        <scheme val="minor"/>
      </rPr>
      <t xml:space="preserve"> e ψ</t>
    </r>
    <r>
      <rPr>
        <vertAlign val="subscript"/>
        <sz val="11"/>
        <color theme="1"/>
        <rFont val="Calibri"/>
        <family val="2"/>
        <scheme val="minor"/>
      </rPr>
      <t>2,j</t>
    </r>
    <r>
      <rPr>
        <sz val="11"/>
        <color theme="1"/>
        <rFont val="Calibri"/>
        <family val="2"/>
        <scheme val="minor"/>
      </rPr>
      <t xml:space="preserve"> sono dati nella Tab. 2.5.I oppure nella Tab. 5.1.VI per i ponti stradali e nella Tab. 5.2.VII per i ponti ferroviari. I valori dei coefficienti parziali di sicurezza γ</t>
    </r>
    <r>
      <rPr>
        <vertAlign val="subscript"/>
        <sz val="11"/>
        <color theme="1"/>
        <rFont val="Calibri"/>
        <family val="2"/>
        <scheme val="minor"/>
      </rPr>
      <t>G,i</t>
    </r>
    <r>
      <rPr>
        <sz val="11"/>
        <color theme="1"/>
        <rFont val="Calibri"/>
        <family val="2"/>
        <scheme val="minor"/>
      </rPr>
      <t xml:space="preserve"> e γ</t>
    </r>
    <r>
      <rPr>
        <vertAlign val="subscript"/>
        <sz val="11"/>
        <color theme="1"/>
        <rFont val="Calibri"/>
        <family val="2"/>
        <scheme val="minor"/>
      </rPr>
      <t>Q,j</t>
    </r>
    <r>
      <rPr>
        <sz val="11"/>
        <color theme="1"/>
        <rFont val="Calibri"/>
        <family val="2"/>
        <scheme val="minor"/>
      </rPr>
      <t xml:space="preserve"> sono dati nel § 2.6.1.</t>
    </r>
  </si>
  <si>
    <t>2.5.3.</t>
  </si>
  <si>
    <t>Azione sismica</t>
  </si>
  <si>
    <t>E</t>
  </si>
  <si>
    <t>Combinazione SLE Quasi Permanente</t>
  </si>
  <si>
    <t>Combinazioni Sismiche</t>
  </si>
  <si>
    <t>Direzione</t>
  </si>
  <si>
    <t>X</t>
  </si>
  <si>
    <t>Y</t>
  </si>
  <si>
    <t>Z</t>
  </si>
  <si>
    <t>Azione sismica principale</t>
  </si>
  <si>
    <t>eccentricità</t>
  </si>
  <si>
    <t>Azione sismica secondaria</t>
  </si>
  <si>
    <t>ex (+)</t>
  </si>
  <si>
    <t>ey (+)</t>
  </si>
  <si>
    <t>ey (-)</t>
  </si>
  <si>
    <t>ex (-)</t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</si>
  <si>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Ey (+)</t>
    </r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</si>
  <si>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Ey (-)</t>
    </r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</si>
  <si>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Ex (+)</t>
    </r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</si>
  <si>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Ex (-)</t>
    </r>
  </si>
  <si>
    <t>Posso considerare altre 32 combinazioni (quindi un totale di 64 combinazioni) per un analisi più accurata, annullando il coefficiente di combinazione per i carichi accidentali, in modo da far variare lo sforzo normale nei pilastri e, in base a dove mi trovo nel dominio, avere valori di momento resistente maggiore o minore</t>
  </si>
  <si>
    <t>Le aliquote che determinano le 32 combinazioni per l'azione sismica</t>
  </si>
  <si>
    <t>Da chatGPT ho appreso che se considero anche la componente verticale, le combinazioni diventano 96, considerando anche il caso dell'annullamento dei carichi variabili sopra indicato, ottengo un totale di 192 combinazioni</t>
  </si>
  <si>
    <t>Dimensione corrispondente</t>
  </si>
  <si>
    <t>1,0∙Ex (+)</t>
  </si>
  <si>
    <t>1,0∙Ex (-)</t>
  </si>
  <si>
    <t>1,0∙Ey (+)</t>
  </si>
  <si>
    <t>1,0∙Ey (-)</t>
  </si>
  <si>
    <r>
      <t>G</t>
    </r>
    <r>
      <rPr>
        <vertAlign val="subscript"/>
        <sz val="11"/>
        <color theme="1"/>
        <rFont val="Calibri"/>
        <family val="2"/>
        <scheme val="minor"/>
      </rPr>
      <t>1,k</t>
    </r>
  </si>
  <si>
    <r>
      <t>G</t>
    </r>
    <r>
      <rPr>
        <vertAlign val="subscript"/>
        <sz val="11"/>
        <color theme="1"/>
        <rFont val="Calibri"/>
        <family val="2"/>
        <scheme val="minor"/>
      </rPr>
      <t>2,k</t>
    </r>
  </si>
  <si>
    <t>NTC18</t>
  </si>
  <si>
    <t>NTC08</t>
  </si>
  <si>
    <t xml:space="preserve">Coefficiente </t>
  </si>
  <si>
    <r>
      <t>ψ</t>
    </r>
    <r>
      <rPr>
        <vertAlign val="subscript"/>
        <sz val="11"/>
        <color theme="1"/>
        <rFont val="Calibri"/>
        <family val="2"/>
        <scheme val="minor"/>
      </rPr>
      <t>0,j</t>
    </r>
  </si>
  <si>
    <r>
      <t>ψ</t>
    </r>
    <r>
      <rPr>
        <vertAlign val="subscript"/>
        <sz val="11"/>
        <color theme="1"/>
        <rFont val="Calibri"/>
        <family val="2"/>
        <scheme val="minor"/>
      </rPr>
      <t>1,j</t>
    </r>
  </si>
  <si>
    <r>
      <t>ψ</t>
    </r>
    <r>
      <rPr>
        <vertAlign val="subscript"/>
        <sz val="11"/>
        <color theme="1"/>
        <rFont val="Calibri"/>
        <family val="2"/>
        <scheme val="minor"/>
      </rPr>
      <t>2,j</t>
    </r>
  </si>
  <si>
    <r>
      <t>γ</t>
    </r>
    <r>
      <rPr>
        <vertAlign val="subscript"/>
        <sz val="11"/>
        <color theme="1"/>
        <rFont val="Calibri"/>
        <family val="2"/>
        <scheme val="minor"/>
      </rPr>
      <t>G1</t>
    </r>
  </si>
  <si>
    <r>
      <t>γ</t>
    </r>
    <r>
      <rPr>
        <vertAlign val="subscript"/>
        <sz val="11"/>
        <color theme="1"/>
        <rFont val="Calibri"/>
        <family val="2"/>
        <scheme val="minor"/>
      </rPr>
      <t>G2</t>
    </r>
  </si>
  <si>
    <r>
      <t>γ</t>
    </r>
    <r>
      <rPr>
        <vertAlign val="subscript"/>
        <sz val="11"/>
        <color theme="1"/>
        <rFont val="Calibri"/>
        <family val="2"/>
        <scheme val="minor"/>
      </rPr>
      <t>Q,i</t>
    </r>
  </si>
  <si>
    <r>
      <t>Q</t>
    </r>
    <r>
      <rPr>
        <vertAlign val="subscript"/>
        <sz val="11"/>
        <color theme="1"/>
        <rFont val="Calibri"/>
        <family val="2"/>
        <scheme val="minor"/>
      </rPr>
      <t>k,i</t>
    </r>
  </si>
  <si>
    <t>Categoria E - Aree per immagazzinamento, uso commerciale e uso industriale (Biblioteche, Archivi, Magazzini e Ambienti ad uso industriale)</t>
  </si>
  <si>
    <t>Categoria K - Coperture per usi speciali (impianti, eliporti, ...)</t>
  </si>
  <si>
    <t>UDM</t>
  </si>
  <si>
    <t>m</t>
  </si>
  <si>
    <t>N</t>
  </si>
  <si>
    <t>Newton</t>
  </si>
  <si>
    <t>Metro</t>
  </si>
  <si>
    <t xml:space="preserve">Unità di misura </t>
  </si>
  <si>
    <t>OUTPUT</t>
  </si>
  <si>
    <t>INPUT</t>
  </si>
  <si>
    <t>Combinazioni SLU fondamentale</t>
  </si>
  <si>
    <t>Sfavorevole</t>
  </si>
  <si>
    <t>A1 (STR)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</si>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</sst>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TI-Nspire"/>
      <family val="1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color theme="1"/>
      <name val="Calibri"/>
      <family val="2"/>
    </font>
    <font>
      <vertAlign val="subscript"/>
      <sz val="14"/>
      <color theme="1"/>
      <name val="Calibri"/>
      <family val="2"/>
    </font>
    <font>
      <sz val="14"/>
      <color theme="1"/>
      <name val="TI-Nspire"/>
      <family val="1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6" borderId="4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7" borderId="0" xfId="0" applyFill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2" xfId="0" applyNumberFormat="1" applyFill="1" applyBorder="1" applyAlignment="1">
      <alignment horizontal="center" vertical="center"/>
    </xf>
    <xf numFmtId="164" fontId="0" fillId="16" borderId="3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7" xfId="0" applyNumberFormat="1" applyFill="1" applyBorder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5" xfId="0" applyNumberFormat="1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0" fillId="16" borderId="12" xfId="0" applyNumberFormat="1" applyFill="1" applyBorder="1" applyAlignment="1">
      <alignment horizontal="center" vertical="center"/>
    </xf>
    <xf numFmtId="0" fontId="0" fillId="16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14" fillId="0" borderId="0" xfId="0" applyFont="1"/>
    <xf numFmtId="0" fontId="15" fillId="12" borderId="4" xfId="0" applyFont="1" applyFill="1" applyBorder="1" applyAlignment="1">
      <alignment horizontal="center" vertical="center"/>
    </xf>
    <xf numFmtId="0" fontId="15" fillId="12" borderId="5" xfId="0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6" borderId="4" xfId="0" applyFill="1" applyBorder="1" applyAlignment="1">
      <alignment horizontal="left" vertical="center"/>
    </xf>
    <xf numFmtId="0" fontId="0" fillId="16" borderId="0" xfId="0" applyFill="1" applyAlignment="1">
      <alignment horizontal="left" vertical="center"/>
    </xf>
    <xf numFmtId="0" fontId="0" fillId="16" borderId="5" xfId="0" applyFill="1" applyBorder="1" applyAlignment="1">
      <alignment horizontal="left" vertical="center"/>
    </xf>
    <xf numFmtId="0" fontId="8" fillId="16" borderId="4" xfId="0" applyFont="1" applyFill="1" applyBorder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0" fillId="16" borderId="4" xfId="0" applyFill="1" applyBorder="1" applyAlignment="1">
      <alignment horizontal="left"/>
    </xf>
    <xf numFmtId="0" fontId="0" fillId="16" borderId="0" xfId="0" applyFill="1" applyAlignment="1">
      <alignment horizontal="left"/>
    </xf>
    <xf numFmtId="0" fontId="0" fillId="16" borderId="5" xfId="0" applyFill="1" applyBorder="1" applyAlignment="1">
      <alignment horizontal="left"/>
    </xf>
    <xf numFmtId="0" fontId="0" fillId="16" borderId="4" xfId="0" applyFill="1" applyBorder="1" applyAlignment="1">
      <alignment horizontal="left" vertical="center" wrapText="1"/>
    </xf>
    <xf numFmtId="0" fontId="0" fillId="16" borderId="0" xfId="0" applyFill="1" applyAlignment="1">
      <alignment horizontal="left" vertical="center" wrapText="1"/>
    </xf>
    <xf numFmtId="0" fontId="0" fillId="16" borderId="5" xfId="0" applyFill="1" applyBorder="1" applyAlignment="1">
      <alignment horizontal="left" vertical="center" wrapText="1"/>
    </xf>
    <xf numFmtId="0" fontId="0" fillId="16" borderId="2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12" borderId="7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left" vertical="center"/>
    </xf>
    <xf numFmtId="0" fontId="0" fillId="16" borderId="2" xfId="0" applyFill="1" applyBorder="1" applyAlignment="1">
      <alignment horizontal="left" vertical="center"/>
    </xf>
    <xf numFmtId="0" fontId="0" fillId="16" borderId="3" xfId="0" applyFill="1" applyBorder="1" applyAlignment="1">
      <alignment horizontal="left" vertical="center"/>
    </xf>
    <xf numFmtId="0" fontId="0" fillId="12" borderId="1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9" xfId="0" applyFill="1" applyBorder="1" applyAlignment="1">
      <alignment horizontal="left" vertical="center" wrapText="1"/>
    </xf>
    <xf numFmtId="0" fontId="0" fillId="16" borderId="8" xfId="0" applyFill="1" applyBorder="1" applyAlignment="1">
      <alignment horizontal="left" vertical="center" wrapText="1"/>
    </xf>
    <xf numFmtId="0" fontId="0" fillId="16" borderId="7" xfId="0" applyFill="1" applyBorder="1" applyAlignment="1">
      <alignment horizontal="left" vertical="center" wrapText="1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6" borderId="10" xfId="0" applyFill="1" applyBorder="1" applyAlignment="1">
      <alignment horizontal="left" vertical="center"/>
    </xf>
    <xf numFmtId="0" fontId="0" fillId="16" borderId="11" xfId="0" applyFill="1" applyBorder="1" applyAlignment="1">
      <alignment horizontal="left" vertical="center"/>
    </xf>
    <xf numFmtId="0" fontId="0" fillId="16" borderId="12" xfId="0" applyFill="1" applyBorder="1" applyAlignment="1">
      <alignment horizontal="left" vertical="center"/>
    </xf>
    <xf numFmtId="0" fontId="0" fillId="12" borderId="9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0" fillId="16" borderId="3" xfId="0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vertical="center" wrapText="1"/>
    </xf>
    <xf numFmtId="0" fontId="0" fillId="16" borderId="7" xfId="0" applyFill="1" applyBorder="1" applyAlignment="1">
      <alignment horizontal="center" vertical="center" wrapText="1"/>
    </xf>
    <xf numFmtId="164" fontId="0" fillId="16" borderId="1" xfId="0" applyNumberFormat="1" applyFill="1" applyBorder="1" applyAlignment="1">
      <alignment horizontal="center" vertical="center"/>
    </xf>
    <xf numFmtId="164" fontId="0" fillId="16" borderId="2" xfId="0" applyNumberFormat="1" applyFill="1" applyBorder="1" applyAlignment="1">
      <alignment horizontal="center" vertical="center"/>
    </xf>
    <xf numFmtId="164" fontId="0" fillId="16" borderId="3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7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5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5" xfId="0" applyFont="1" applyFill="1" applyBorder="1" applyAlignment="1">
      <alignment horizontal="center" vertical="center"/>
    </xf>
    <xf numFmtId="0" fontId="15" fillId="12" borderId="9" xfId="0" applyFont="1" applyFill="1" applyBorder="1" applyAlignment="1">
      <alignment horizontal="center" vertical="center"/>
    </xf>
    <xf numFmtId="0" fontId="15" fillId="12" borderId="7" xfId="0" applyFont="1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0" fillId="17" borderId="3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2</xdr:row>
          <xdr:rowOff>0</xdr:rowOff>
        </xdr:from>
        <xdr:to>
          <xdr:col>38</xdr:col>
          <xdr:colOff>0</xdr:colOff>
          <xdr:row>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2</xdr:row>
          <xdr:rowOff>0</xdr:rowOff>
        </xdr:from>
        <xdr:to>
          <xdr:col>46</xdr:col>
          <xdr:colOff>0</xdr:colOff>
          <xdr:row>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2</xdr:row>
          <xdr:rowOff>0</xdr:rowOff>
        </xdr:from>
        <xdr:to>
          <xdr:col>54</xdr:col>
          <xdr:colOff>0</xdr:colOff>
          <xdr:row>4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2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0</xdr:colOff>
          <xdr:row>2</xdr:row>
          <xdr:rowOff>0</xdr:rowOff>
        </xdr:from>
        <xdr:to>
          <xdr:col>62</xdr:col>
          <xdr:colOff>0</xdr:colOff>
          <xdr:row>4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4</xdr:row>
          <xdr:rowOff>0</xdr:rowOff>
        </xdr:from>
        <xdr:to>
          <xdr:col>38</xdr:col>
          <xdr:colOff>0</xdr:colOff>
          <xdr:row>6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2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4</xdr:row>
          <xdr:rowOff>0</xdr:rowOff>
        </xdr:from>
        <xdr:to>
          <xdr:col>46</xdr:col>
          <xdr:colOff>0</xdr:colOff>
          <xdr:row>6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2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4</xdr:row>
          <xdr:rowOff>0</xdr:rowOff>
        </xdr:from>
        <xdr:to>
          <xdr:col>54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2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0</xdr:colOff>
          <xdr:row>4</xdr:row>
          <xdr:rowOff>0</xdr:rowOff>
        </xdr:from>
        <xdr:to>
          <xdr:col>62</xdr:col>
          <xdr:colOff>0</xdr:colOff>
          <xdr:row>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2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2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2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Resetta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2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2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2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</xdr:row>
          <xdr:rowOff>0</xdr:rowOff>
        </xdr:from>
        <xdr:to>
          <xdr:col>29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2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0</xdr:rowOff>
        </xdr:from>
        <xdr:to>
          <xdr:col>29</xdr:col>
          <xdr:colOff>0</xdr:colOff>
          <xdr:row>4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2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2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0</xdr:colOff>
          <xdr:row>2</xdr:row>
          <xdr:rowOff>0</xdr:rowOff>
        </xdr:from>
        <xdr:to>
          <xdr:col>70</xdr:col>
          <xdr:colOff>0</xdr:colOff>
          <xdr:row>4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2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0</xdr:colOff>
          <xdr:row>4</xdr:row>
          <xdr:rowOff>0</xdr:rowOff>
        </xdr:from>
        <xdr:to>
          <xdr:col>70</xdr:col>
          <xdr:colOff>0</xdr:colOff>
          <xdr:row>6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2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0</xdr:colOff>
          <xdr:row>2</xdr:row>
          <xdr:rowOff>0</xdr:rowOff>
        </xdr:from>
        <xdr:to>
          <xdr:col>70</xdr:col>
          <xdr:colOff>0</xdr:colOff>
          <xdr:row>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2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0</xdr:colOff>
          <xdr:row>4</xdr:row>
          <xdr:rowOff>0</xdr:rowOff>
        </xdr:from>
        <xdr:to>
          <xdr:col>70</xdr:col>
          <xdr:colOff>0</xdr:colOff>
          <xdr:row>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2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2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Relazione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2186-A553-489C-8B3D-46BBBEDD8CE7}">
  <sheetPr codeName="Foglio3"/>
  <dimension ref="A1:D29"/>
  <sheetViews>
    <sheetView topLeftCell="A10" workbookViewId="0">
      <selection activeCell="H13" sqref="H13"/>
    </sheetView>
  </sheetViews>
  <sheetFormatPr defaultRowHeight="15" x14ac:dyDescent="0.25"/>
  <sheetData>
    <row r="1" spans="1:4" x14ac:dyDescent="0.25">
      <c r="A1" s="56" t="s">
        <v>110</v>
      </c>
      <c r="B1" s="57"/>
      <c r="C1" s="57"/>
      <c r="D1" s="58"/>
    </row>
    <row r="2" spans="1:4" x14ac:dyDescent="0.25">
      <c r="A2" s="59" t="s">
        <v>113</v>
      </c>
      <c r="B2" s="60"/>
      <c r="C2" s="60" t="s">
        <v>114</v>
      </c>
      <c r="D2" s="61"/>
    </row>
    <row r="3" spans="1:4" x14ac:dyDescent="0.25">
      <c r="A3" s="59" t="s">
        <v>112</v>
      </c>
      <c r="B3" s="60"/>
      <c r="C3" s="60" t="s">
        <v>111</v>
      </c>
      <c r="D3" s="61"/>
    </row>
    <row r="4" spans="1:4" x14ac:dyDescent="0.25">
      <c r="A4" s="55" t="str">
        <f>"Q"&amp;A$3</f>
        <v>QN</v>
      </c>
      <c r="B4" s="52"/>
      <c r="C4" s="52" t="str">
        <f>"Q"&amp;C$3</f>
        <v>Qm</v>
      </c>
      <c r="D4" s="53"/>
    </row>
    <row r="5" spans="1:4" x14ac:dyDescent="0.25">
      <c r="A5" s="55" t="str">
        <f>"R"&amp;A$3</f>
        <v>RN</v>
      </c>
      <c r="B5" s="52"/>
      <c r="C5" s="52" t="str">
        <f>"R"&amp;C$3</f>
        <v>Rm</v>
      </c>
      <c r="D5" s="53"/>
    </row>
    <row r="6" spans="1:4" x14ac:dyDescent="0.25">
      <c r="A6" s="55" t="str">
        <f>"Y"&amp;A$3</f>
        <v>YN</v>
      </c>
      <c r="B6" s="52"/>
      <c r="C6" s="52" t="str">
        <f>"Y"&amp;C$3</f>
        <v>Ym</v>
      </c>
      <c r="D6" s="53"/>
    </row>
    <row r="7" spans="1:4" x14ac:dyDescent="0.25">
      <c r="A7" s="55" t="str">
        <f>"Z"&amp;A$3</f>
        <v>ZN</v>
      </c>
      <c r="B7" s="52"/>
      <c r="C7" s="52" t="str">
        <f>"Z"&amp;C$3</f>
        <v>Zm</v>
      </c>
      <c r="D7" s="53"/>
    </row>
    <row r="8" spans="1:4" x14ac:dyDescent="0.25">
      <c r="A8" s="55" t="str">
        <f>"E"&amp;A$3</f>
        <v>EN</v>
      </c>
      <c r="B8" s="52"/>
      <c r="C8" s="52" t="str">
        <f>"E"&amp;C$3</f>
        <v>Em</v>
      </c>
      <c r="D8" s="53"/>
    </row>
    <row r="9" spans="1:4" x14ac:dyDescent="0.25">
      <c r="A9" s="55" t="str">
        <f>"P"&amp;A$3</f>
        <v>PN</v>
      </c>
      <c r="B9" s="52"/>
      <c r="C9" s="52" t="str">
        <f>"P"&amp;C$3</f>
        <v>Pm</v>
      </c>
      <c r="D9" s="53"/>
    </row>
    <row r="10" spans="1:4" x14ac:dyDescent="0.25">
      <c r="A10" s="55" t="str">
        <f>"T"&amp;A$3</f>
        <v>TN</v>
      </c>
      <c r="B10" s="52"/>
      <c r="C10" s="52" t="str">
        <f>"T"&amp;C$3</f>
        <v>Tm</v>
      </c>
      <c r="D10" s="53"/>
    </row>
    <row r="11" spans="1:4" x14ac:dyDescent="0.25">
      <c r="A11" s="55" t="str">
        <f>"G"&amp;A$3</f>
        <v>GN</v>
      </c>
      <c r="B11" s="52"/>
      <c r="C11" s="52" t="str">
        <f>"G"&amp;C$3</f>
        <v>Gm</v>
      </c>
      <c r="D11" s="53"/>
    </row>
    <row r="12" spans="1:4" x14ac:dyDescent="0.25">
      <c r="A12" s="55" t="str">
        <f>"M"&amp;A$3</f>
        <v>MN</v>
      </c>
      <c r="B12" s="52"/>
      <c r="C12" s="52" t="str">
        <f>"M"&amp;C$3</f>
        <v>Mm</v>
      </c>
      <c r="D12" s="53"/>
    </row>
    <row r="13" spans="1:4" x14ac:dyDescent="0.25">
      <c r="A13" s="55" t="str">
        <f>"k"&amp;A$3</f>
        <v>kN</v>
      </c>
      <c r="B13" s="52"/>
      <c r="C13" s="52" t="str">
        <f>"k"&amp;C$3</f>
        <v>km</v>
      </c>
      <c r="D13" s="53"/>
    </row>
    <row r="14" spans="1:4" x14ac:dyDescent="0.25">
      <c r="A14" s="55" t="str">
        <f>"h"&amp;A$3</f>
        <v>hN</v>
      </c>
      <c r="B14" s="52"/>
      <c r="C14" s="52" t="str">
        <f>"h"&amp;C$3</f>
        <v>hm</v>
      </c>
      <c r="D14" s="53"/>
    </row>
    <row r="15" spans="1:4" x14ac:dyDescent="0.25">
      <c r="A15" s="55" t="str">
        <f>"da"&amp;A$3</f>
        <v>daN</v>
      </c>
      <c r="B15" s="52"/>
      <c r="C15" s="52" t="str">
        <f>"da"&amp;C$3</f>
        <v>dam</v>
      </c>
      <c r="D15" s="53"/>
    </row>
    <row r="16" spans="1:4" x14ac:dyDescent="0.25">
      <c r="A16" s="55" t="str">
        <f>""&amp;A$3</f>
        <v>N</v>
      </c>
      <c r="B16" s="52"/>
      <c r="C16" s="52" t="str">
        <f>""&amp;C$3</f>
        <v>m</v>
      </c>
      <c r="D16" s="53"/>
    </row>
    <row r="17" spans="1:4" x14ac:dyDescent="0.25">
      <c r="A17" s="55" t="str">
        <f>"d"&amp;A$3</f>
        <v>dN</v>
      </c>
      <c r="B17" s="52"/>
      <c r="C17" s="52" t="str">
        <f>"d"&amp;C$3</f>
        <v>dm</v>
      </c>
      <c r="D17" s="53"/>
    </row>
    <row r="18" spans="1:4" x14ac:dyDescent="0.25">
      <c r="A18" s="55" t="str">
        <f>"c"&amp;A$3</f>
        <v>cN</v>
      </c>
      <c r="B18" s="52"/>
      <c r="C18" s="52" t="str">
        <f>"c"&amp;C$3</f>
        <v>cm</v>
      </c>
      <c r="D18" s="53"/>
    </row>
    <row r="19" spans="1:4" x14ac:dyDescent="0.25">
      <c r="A19" s="55" t="str">
        <f>"m"&amp;A$3</f>
        <v>mN</v>
      </c>
      <c r="B19" s="52"/>
      <c r="C19" s="52" t="str">
        <f>"m"&amp;C$3</f>
        <v>mm</v>
      </c>
      <c r="D19" s="53"/>
    </row>
    <row r="20" spans="1:4" x14ac:dyDescent="0.25">
      <c r="A20" s="55" t="str">
        <f>"μ"&amp;A$3</f>
        <v>μN</v>
      </c>
      <c r="B20" s="52"/>
      <c r="C20" s="52" t="str">
        <f>"μ"&amp;C$3</f>
        <v>μm</v>
      </c>
      <c r="D20" s="53"/>
    </row>
    <row r="21" spans="1:4" x14ac:dyDescent="0.25">
      <c r="A21" s="55" t="str">
        <f>"n"&amp;A$3</f>
        <v>nN</v>
      </c>
      <c r="B21" s="52"/>
      <c r="C21" s="52" t="str">
        <f>"n"&amp;C$3</f>
        <v>nm</v>
      </c>
      <c r="D21" s="53"/>
    </row>
    <row r="22" spans="1:4" x14ac:dyDescent="0.25">
      <c r="A22" s="55" t="str">
        <f>"p"&amp;A$3</f>
        <v>pN</v>
      </c>
      <c r="B22" s="52"/>
      <c r="C22" s="52" t="str">
        <f>"p"&amp;C$3</f>
        <v>pm</v>
      </c>
      <c r="D22" s="53"/>
    </row>
    <row r="23" spans="1:4" x14ac:dyDescent="0.25">
      <c r="A23" s="55" t="str">
        <f>"f"&amp;A$3</f>
        <v>fN</v>
      </c>
      <c r="B23" s="52"/>
      <c r="C23" s="52" t="str">
        <f>"f"&amp;C$3</f>
        <v>fm</v>
      </c>
      <c r="D23" s="53"/>
    </row>
    <row r="24" spans="1:4" x14ac:dyDescent="0.25">
      <c r="A24" s="55" t="str">
        <f>"a"&amp;A$3</f>
        <v>aN</v>
      </c>
      <c r="B24" s="52"/>
      <c r="C24" s="52" t="str">
        <f>"a"&amp;C$3</f>
        <v>am</v>
      </c>
      <c r="D24" s="53"/>
    </row>
    <row r="25" spans="1:4" x14ac:dyDescent="0.25">
      <c r="A25" s="55" t="str">
        <f>"z"&amp;A$3</f>
        <v>zN</v>
      </c>
      <c r="B25" s="52"/>
      <c r="C25" s="52" t="str">
        <f>"z"&amp;C$3</f>
        <v>zm</v>
      </c>
      <c r="D25" s="53"/>
    </row>
    <row r="26" spans="1:4" x14ac:dyDescent="0.25">
      <c r="A26" s="55" t="str">
        <f>"y"&amp;A$3</f>
        <v>yN</v>
      </c>
      <c r="B26" s="52"/>
      <c r="C26" s="52" t="str">
        <f>"y"&amp;C$3</f>
        <v>ym</v>
      </c>
      <c r="D26" s="53"/>
    </row>
    <row r="27" spans="1:4" x14ac:dyDescent="0.25">
      <c r="A27" s="55" t="str">
        <f>"r"&amp;A$3</f>
        <v>rN</v>
      </c>
      <c r="B27" s="52"/>
      <c r="C27" s="52" t="str">
        <f>"r"&amp;C$3</f>
        <v>rm</v>
      </c>
      <c r="D27" s="53"/>
    </row>
    <row r="28" spans="1:4" x14ac:dyDescent="0.25">
      <c r="A28" s="55" t="str">
        <f>"q"&amp;A$3</f>
        <v>qN</v>
      </c>
      <c r="B28" s="52"/>
      <c r="C28" s="52" t="str">
        <f>"q"&amp;C$3</f>
        <v>qm</v>
      </c>
      <c r="D28" s="53"/>
    </row>
    <row r="29" spans="1:4" x14ac:dyDescent="0.25">
      <c r="A29" s="50" t="str">
        <f>"-"</f>
        <v>-</v>
      </c>
      <c r="B29" s="51"/>
      <c r="C29" s="51" t="str">
        <f>"-"</f>
        <v>-</v>
      </c>
      <c r="D29" s="54"/>
    </row>
  </sheetData>
  <mergeCells count="57">
    <mergeCell ref="C9:D9"/>
    <mergeCell ref="A9:B9"/>
    <mergeCell ref="C6:D6"/>
    <mergeCell ref="A6:B6"/>
    <mergeCell ref="A15:B15"/>
    <mergeCell ref="C15:D15"/>
    <mergeCell ref="C11:D11"/>
    <mergeCell ref="A12:B12"/>
    <mergeCell ref="C12:D12"/>
    <mergeCell ref="A13:B13"/>
    <mergeCell ref="C13:D13"/>
    <mergeCell ref="A14:B14"/>
    <mergeCell ref="C14:D14"/>
    <mergeCell ref="A21:B21"/>
    <mergeCell ref="A22:B22"/>
    <mergeCell ref="A23:B23"/>
    <mergeCell ref="C7:D7"/>
    <mergeCell ref="A7:B7"/>
    <mergeCell ref="C8:D8"/>
    <mergeCell ref="A8:B8"/>
    <mergeCell ref="A11:B11"/>
    <mergeCell ref="A20:B20"/>
    <mergeCell ref="C20:D20"/>
    <mergeCell ref="C21:D21"/>
    <mergeCell ref="C22:D22"/>
    <mergeCell ref="C23:D23"/>
    <mergeCell ref="A16:B16"/>
    <mergeCell ref="C16:D16"/>
    <mergeCell ref="A17:B17"/>
    <mergeCell ref="A1:D1"/>
    <mergeCell ref="A3:B3"/>
    <mergeCell ref="C3:D3"/>
    <mergeCell ref="A18:B18"/>
    <mergeCell ref="A19:B19"/>
    <mergeCell ref="C5:D5"/>
    <mergeCell ref="A5:B5"/>
    <mergeCell ref="C4:D4"/>
    <mergeCell ref="A4:B4"/>
    <mergeCell ref="C18:D18"/>
    <mergeCell ref="C19:D19"/>
    <mergeCell ref="A2:B2"/>
    <mergeCell ref="C2:D2"/>
    <mergeCell ref="C17:D17"/>
    <mergeCell ref="C10:D10"/>
    <mergeCell ref="A10:B10"/>
    <mergeCell ref="A29:B29"/>
    <mergeCell ref="C24:D24"/>
    <mergeCell ref="C25:D25"/>
    <mergeCell ref="C26:D26"/>
    <mergeCell ref="C27:D27"/>
    <mergeCell ref="C28:D28"/>
    <mergeCell ref="C29:D29"/>
    <mergeCell ref="A24:B24"/>
    <mergeCell ref="A25:B25"/>
    <mergeCell ref="A26:B26"/>
    <mergeCell ref="A27:B27"/>
    <mergeCell ref="A28:B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8ED14-C995-40A6-AF15-CB62F70A6BA5}">
  <sheetPr codeName="Foglio2"/>
  <dimension ref="B2:BB200"/>
  <sheetViews>
    <sheetView zoomScale="115" zoomScaleNormal="115" workbookViewId="0">
      <selection sqref="A1:XFD1048576"/>
    </sheetView>
  </sheetViews>
  <sheetFormatPr defaultRowHeight="15" x14ac:dyDescent="0.25"/>
  <sheetData>
    <row r="2" spans="2:34" x14ac:dyDescent="0.25">
      <c r="B2" s="76" t="s">
        <v>68</v>
      </c>
      <c r="C2" s="77" t="s">
        <v>39</v>
      </c>
      <c r="D2" s="77"/>
      <c r="E2" s="77"/>
      <c r="F2" s="77"/>
      <c r="G2" s="77"/>
      <c r="H2" s="77"/>
      <c r="I2" s="77"/>
      <c r="J2" s="77"/>
      <c r="K2" s="77"/>
      <c r="L2" s="77"/>
      <c r="M2" s="78"/>
      <c r="X2" s="76" t="s">
        <v>89</v>
      </c>
      <c r="Y2" s="77"/>
      <c r="Z2" s="77"/>
      <c r="AA2" s="77"/>
      <c r="AB2" s="77"/>
      <c r="AC2" s="77"/>
      <c r="AD2" s="77"/>
      <c r="AE2" s="77"/>
      <c r="AF2" s="77"/>
      <c r="AG2" s="77"/>
      <c r="AH2" s="78"/>
    </row>
    <row r="3" spans="2:34" x14ac:dyDescent="0.25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1"/>
      <c r="X3" s="79"/>
      <c r="Y3" s="80"/>
      <c r="Z3" s="80"/>
      <c r="AA3" s="80"/>
      <c r="AB3" s="80"/>
      <c r="AC3" s="80"/>
      <c r="AD3" s="80"/>
      <c r="AE3" s="80"/>
      <c r="AF3" s="80"/>
      <c r="AG3" s="80"/>
      <c r="AH3" s="81"/>
    </row>
    <row r="4" spans="2:34" x14ac:dyDescent="0.25">
      <c r="B4" s="88" t="s">
        <v>40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90"/>
      <c r="X4" s="98" t="s">
        <v>77</v>
      </c>
      <c r="Y4" s="75"/>
      <c r="Z4" s="75"/>
      <c r="AA4" s="75" t="s">
        <v>78</v>
      </c>
      <c r="AB4" s="75"/>
      <c r="AC4" s="75" t="s">
        <v>79</v>
      </c>
      <c r="AD4" s="75"/>
      <c r="AE4" s="75"/>
      <c r="AF4" s="75" t="s">
        <v>78</v>
      </c>
      <c r="AG4" s="75"/>
      <c r="AH4" s="45" t="s">
        <v>7</v>
      </c>
    </row>
    <row r="5" spans="2:34" x14ac:dyDescent="0.25">
      <c r="B5" s="62"/>
      <c r="C5" s="63"/>
      <c r="D5" s="63"/>
      <c r="E5" s="63"/>
      <c r="F5" s="63"/>
      <c r="G5" s="63"/>
      <c r="H5" s="63"/>
      <c r="I5" s="63"/>
      <c r="J5" s="63"/>
      <c r="K5" s="63"/>
      <c r="L5" s="63"/>
      <c r="M5" s="64"/>
      <c r="X5" s="100" t="s">
        <v>92</v>
      </c>
      <c r="Y5" s="82"/>
      <c r="Z5" s="82"/>
      <c r="AA5" s="82" t="s">
        <v>81</v>
      </c>
      <c r="AB5" s="82"/>
      <c r="AC5" s="82" t="s">
        <v>84</v>
      </c>
      <c r="AD5" s="82"/>
      <c r="AE5" s="82"/>
      <c r="AF5" s="82" t="s">
        <v>80</v>
      </c>
      <c r="AG5" s="82"/>
      <c r="AH5" s="42">
        <v>1</v>
      </c>
    </row>
    <row r="6" spans="2:34" x14ac:dyDescent="0.25">
      <c r="B6" s="69" t="s">
        <v>41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1"/>
      <c r="X6" s="100"/>
      <c r="Y6" s="82"/>
      <c r="Z6" s="82"/>
      <c r="AA6" s="82"/>
      <c r="AB6" s="82"/>
      <c r="AC6" s="82"/>
      <c r="AD6" s="82"/>
      <c r="AE6" s="82"/>
      <c r="AF6" s="82" t="s">
        <v>83</v>
      </c>
      <c r="AG6" s="82"/>
      <c r="AH6" s="42">
        <v>2</v>
      </c>
    </row>
    <row r="7" spans="2:34" ht="15" customHeight="1" x14ac:dyDescent="0.25">
      <c r="B7" s="65" t="s">
        <v>57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7" t="s">
        <v>50</v>
      </c>
      <c r="X7" s="100"/>
      <c r="Y7" s="82"/>
      <c r="Z7" s="82"/>
      <c r="AA7" s="82"/>
      <c r="AB7" s="82"/>
      <c r="AC7" s="82" t="s">
        <v>85</v>
      </c>
      <c r="AD7" s="82"/>
      <c r="AE7" s="82"/>
      <c r="AF7" s="82" t="s">
        <v>80</v>
      </c>
      <c r="AG7" s="82"/>
      <c r="AH7" s="42">
        <v>3</v>
      </c>
    </row>
    <row r="8" spans="2:34" ht="15" customHeight="1" x14ac:dyDescent="0.25">
      <c r="B8" s="65"/>
      <c r="C8" s="66"/>
      <c r="D8" s="66"/>
      <c r="E8" s="66"/>
      <c r="F8" s="66"/>
      <c r="G8" s="66"/>
      <c r="H8" s="66"/>
      <c r="I8" s="66"/>
      <c r="J8" s="66"/>
      <c r="K8" s="66"/>
      <c r="L8" s="66"/>
      <c r="M8" s="67"/>
      <c r="X8" s="100"/>
      <c r="Y8" s="82"/>
      <c r="Z8" s="82"/>
      <c r="AA8" s="82"/>
      <c r="AB8" s="82"/>
      <c r="AC8" s="82"/>
      <c r="AD8" s="82"/>
      <c r="AE8" s="82"/>
      <c r="AF8" s="82" t="s">
        <v>83</v>
      </c>
      <c r="AG8" s="82"/>
      <c r="AH8" s="42">
        <v>4</v>
      </c>
    </row>
    <row r="9" spans="2:34" ht="15" customHeight="1" x14ac:dyDescent="0.25">
      <c r="B9" s="69" t="s">
        <v>42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1"/>
      <c r="X9" s="100"/>
      <c r="Y9" s="82"/>
      <c r="Z9" s="82"/>
      <c r="AA9" s="82" t="s">
        <v>82</v>
      </c>
      <c r="AB9" s="82"/>
      <c r="AC9" s="82" t="s">
        <v>84</v>
      </c>
      <c r="AD9" s="82"/>
      <c r="AE9" s="82"/>
      <c r="AF9" s="82" t="s">
        <v>80</v>
      </c>
      <c r="AG9" s="82"/>
      <c r="AH9" s="42">
        <v>5</v>
      </c>
    </row>
    <row r="10" spans="2:34" ht="15" customHeight="1" x14ac:dyDescent="0.25">
      <c r="B10" s="68" t="s">
        <v>60</v>
      </c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7" t="s">
        <v>51</v>
      </c>
      <c r="X10" s="100"/>
      <c r="Y10" s="82"/>
      <c r="Z10" s="82"/>
      <c r="AA10" s="82"/>
      <c r="AB10" s="82"/>
      <c r="AC10" s="82"/>
      <c r="AD10" s="82"/>
      <c r="AE10" s="82"/>
      <c r="AF10" s="82" t="s">
        <v>83</v>
      </c>
      <c r="AG10" s="82"/>
      <c r="AH10" s="42">
        <v>6</v>
      </c>
    </row>
    <row r="11" spans="2:34" ht="15" customHeight="1" x14ac:dyDescent="0.25">
      <c r="B11" s="65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7"/>
      <c r="X11" s="100"/>
      <c r="Y11" s="82"/>
      <c r="Z11" s="82"/>
      <c r="AA11" s="82"/>
      <c r="AB11" s="82"/>
      <c r="AC11" s="82" t="s">
        <v>85</v>
      </c>
      <c r="AD11" s="82"/>
      <c r="AE11" s="82"/>
      <c r="AF11" s="82" t="s">
        <v>80</v>
      </c>
      <c r="AG11" s="82"/>
      <c r="AH11" s="42">
        <v>7</v>
      </c>
    </row>
    <row r="12" spans="2:34" ht="15" customHeight="1" x14ac:dyDescent="0.25">
      <c r="B12" s="69" t="s">
        <v>43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1"/>
      <c r="X12" s="100"/>
      <c r="Y12" s="82"/>
      <c r="Z12" s="82"/>
      <c r="AA12" s="82"/>
      <c r="AB12" s="82"/>
      <c r="AC12" s="82"/>
      <c r="AD12" s="82"/>
      <c r="AE12" s="82"/>
      <c r="AF12" s="82" t="s">
        <v>83</v>
      </c>
      <c r="AG12" s="82"/>
      <c r="AH12" s="42">
        <v>8</v>
      </c>
    </row>
    <row r="13" spans="2:34" ht="15" customHeight="1" x14ac:dyDescent="0.25">
      <c r="B13" s="68" t="s">
        <v>61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7" t="s">
        <v>52</v>
      </c>
      <c r="X13" s="100" t="s">
        <v>93</v>
      </c>
      <c r="Y13" s="82"/>
      <c r="Z13" s="82"/>
      <c r="AA13" s="82" t="s">
        <v>81</v>
      </c>
      <c r="AB13" s="82"/>
      <c r="AC13" s="82" t="s">
        <v>84</v>
      </c>
      <c r="AD13" s="82"/>
      <c r="AE13" s="82"/>
      <c r="AF13" s="82" t="s">
        <v>80</v>
      </c>
      <c r="AG13" s="82"/>
      <c r="AH13" s="42">
        <v>9</v>
      </c>
    </row>
    <row r="14" spans="2:34" ht="15" customHeight="1" x14ac:dyDescent="0.25">
      <c r="B14" s="65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7"/>
      <c r="X14" s="100"/>
      <c r="Y14" s="82"/>
      <c r="Z14" s="82"/>
      <c r="AA14" s="82"/>
      <c r="AB14" s="82"/>
      <c r="AC14" s="82"/>
      <c r="AD14" s="82"/>
      <c r="AE14" s="82"/>
      <c r="AF14" s="82" t="s">
        <v>83</v>
      </c>
      <c r="AG14" s="82"/>
      <c r="AH14" s="42">
        <v>10</v>
      </c>
    </row>
    <row r="15" spans="2:34" ht="15" customHeight="1" x14ac:dyDescent="0.25">
      <c r="B15" s="69" t="s">
        <v>44</v>
      </c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1"/>
      <c r="X15" s="100"/>
      <c r="Y15" s="82"/>
      <c r="Z15" s="82"/>
      <c r="AA15" s="82"/>
      <c r="AB15" s="82"/>
      <c r="AC15" s="82" t="s">
        <v>85</v>
      </c>
      <c r="AD15" s="82"/>
      <c r="AE15" s="82"/>
      <c r="AF15" s="82" t="s">
        <v>80</v>
      </c>
      <c r="AG15" s="82"/>
      <c r="AH15" s="42">
        <v>11</v>
      </c>
    </row>
    <row r="16" spans="2:34" ht="15" customHeight="1" x14ac:dyDescent="0.25">
      <c r="B16" s="68" t="s">
        <v>62</v>
      </c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7" t="s">
        <v>53</v>
      </c>
      <c r="X16" s="100"/>
      <c r="Y16" s="82"/>
      <c r="Z16" s="82"/>
      <c r="AA16" s="82"/>
      <c r="AB16" s="82"/>
      <c r="AC16" s="82"/>
      <c r="AD16" s="82"/>
      <c r="AE16" s="82"/>
      <c r="AF16" s="82" t="s">
        <v>83</v>
      </c>
      <c r="AG16" s="82"/>
      <c r="AH16" s="42">
        <v>12</v>
      </c>
    </row>
    <row r="17" spans="2:34" ht="15" customHeight="1" x14ac:dyDescent="0.25">
      <c r="B17" s="65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7"/>
      <c r="X17" s="100"/>
      <c r="Y17" s="82"/>
      <c r="Z17" s="82"/>
      <c r="AA17" s="82" t="s">
        <v>82</v>
      </c>
      <c r="AB17" s="82"/>
      <c r="AC17" s="82" t="s">
        <v>84</v>
      </c>
      <c r="AD17" s="82"/>
      <c r="AE17" s="82"/>
      <c r="AF17" s="82" t="s">
        <v>80</v>
      </c>
      <c r="AG17" s="82"/>
      <c r="AH17" s="42">
        <v>13</v>
      </c>
    </row>
    <row r="18" spans="2:34" ht="15" customHeight="1" x14ac:dyDescent="0.25">
      <c r="B18" s="69" t="s">
        <v>45</v>
      </c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1"/>
      <c r="X18" s="100"/>
      <c r="Y18" s="82"/>
      <c r="Z18" s="82"/>
      <c r="AA18" s="82"/>
      <c r="AB18" s="82"/>
      <c r="AC18" s="82"/>
      <c r="AD18" s="82"/>
      <c r="AE18" s="82"/>
      <c r="AF18" s="82" t="s">
        <v>83</v>
      </c>
      <c r="AG18" s="82"/>
      <c r="AH18" s="42">
        <v>14</v>
      </c>
    </row>
    <row r="19" spans="2:34" ht="15" customHeight="1" x14ac:dyDescent="0.25">
      <c r="B19" s="68" t="s">
        <v>63</v>
      </c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7" t="s">
        <v>54</v>
      </c>
      <c r="X19" s="100"/>
      <c r="Y19" s="82"/>
      <c r="Z19" s="82"/>
      <c r="AA19" s="82"/>
      <c r="AB19" s="82"/>
      <c r="AC19" s="82" t="s">
        <v>85</v>
      </c>
      <c r="AD19" s="82"/>
      <c r="AE19" s="82"/>
      <c r="AF19" s="82" t="s">
        <v>80</v>
      </c>
      <c r="AG19" s="82"/>
      <c r="AH19" s="42">
        <v>15</v>
      </c>
    </row>
    <row r="20" spans="2:34" ht="15" customHeight="1" x14ac:dyDescent="0.25">
      <c r="B20" s="65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7"/>
      <c r="X20" s="100"/>
      <c r="Y20" s="82"/>
      <c r="Z20" s="82"/>
      <c r="AA20" s="82"/>
      <c r="AB20" s="82"/>
      <c r="AC20" s="82"/>
      <c r="AD20" s="82"/>
      <c r="AE20" s="82"/>
      <c r="AF20" s="82" t="s">
        <v>83</v>
      </c>
      <c r="AG20" s="82"/>
      <c r="AH20" s="42">
        <v>16</v>
      </c>
    </row>
    <row r="21" spans="2:34" ht="15" customHeight="1" x14ac:dyDescent="0.25">
      <c r="B21" s="69" t="s">
        <v>46</v>
      </c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1"/>
      <c r="X21" s="100" t="s">
        <v>94</v>
      </c>
      <c r="Y21" s="82"/>
      <c r="Z21" s="82"/>
      <c r="AA21" s="82" t="s">
        <v>80</v>
      </c>
      <c r="AB21" s="82"/>
      <c r="AC21" s="82" t="s">
        <v>86</v>
      </c>
      <c r="AD21" s="82"/>
      <c r="AE21" s="82"/>
      <c r="AF21" s="82" t="s">
        <v>81</v>
      </c>
      <c r="AG21" s="82"/>
      <c r="AH21" s="42">
        <v>17</v>
      </c>
    </row>
    <row r="22" spans="2:34" ht="15" customHeight="1" x14ac:dyDescent="0.25">
      <c r="B22" s="68" t="s">
        <v>64</v>
      </c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7" t="s">
        <v>55</v>
      </c>
      <c r="X22" s="100"/>
      <c r="Y22" s="82"/>
      <c r="Z22" s="82"/>
      <c r="AA22" s="82"/>
      <c r="AB22" s="82"/>
      <c r="AC22" s="82"/>
      <c r="AD22" s="82"/>
      <c r="AE22" s="82"/>
      <c r="AF22" s="82" t="s">
        <v>82</v>
      </c>
      <c r="AG22" s="82"/>
      <c r="AH22" s="42">
        <v>18</v>
      </c>
    </row>
    <row r="23" spans="2:34" ht="15" customHeight="1" x14ac:dyDescent="0.25">
      <c r="B23" s="65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7"/>
      <c r="X23" s="100"/>
      <c r="Y23" s="82"/>
      <c r="Z23" s="82"/>
      <c r="AA23" s="82"/>
      <c r="AB23" s="82"/>
      <c r="AC23" s="82" t="s">
        <v>87</v>
      </c>
      <c r="AD23" s="82"/>
      <c r="AE23" s="82"/>
      <c r="AF23" s="82" t="s">
        <v>81</v>
      </c>
      <c r="AG23" s="82"/>
      <c r="AH23" s="42">
        <v>19</v>
      </c>
    </row>
    <row r="24" spans="2:34" ht="15" customHeight="1" x14ac:dyDescent="0.25">
      <c r="B24" s="69" t="s">
        <v>47</v>
      </c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1"/>
      <c r="X24" s="100"/>
      <c r="Y24" s="82"/>
      <c r="Z24" s="82"/>
      <c r="AA24" s="82"/>
      <c r="AB24" s="82"/>
      <c r="AC24" s="82"/>
      <c r="AD24" s="82"/>
      <c r="AE24" s="82"/>
      <c r="AF24" s="82" t="s">
        <v>82</v>
      </c>
      <c r="AG24" s="82"/>
      <c r="AH24" s="42">
        <v>20</v>
      </c>
    </row>
    <row r="25" spans="2:34" ht="15" customHeight="1" x14ac:dyDescent="0.25">
      <c r="B25" s="68" t="s">
        <v>65</v>
      </c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7" t="s">
        <v>56</v>
      </c>
      <c r="X25" s="100"/>
      <c r="Y25" s="82"/>
      <c r="Z25" s="82"/>
      <c r="AA25" s="82" t="s">
        <v>83</v>
      </c>
      <c r="AB25" s="82"/>
      <c r="AC25" s="82" t="s">
        <v>86</v>
      </c>
      <c r="AD25" s="82"/>
      <c r="AE25" s="82"/>
      <c r="AF25" s="82" t="s">
        <v>81</v>
      </c>
      <c r="AG25" s="82"/>
      <c r="AH25" s="42">
        <v>21</v>
      </c>
    </row>
    <row r="26" spans="2:34" ht="15" customHeight="1" x14ac:dyDescent="0.25">
      <c r="B26" s="65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7"/>
      <c r="X26" s="100"/>
      <c r="Y26" s="82"/>
      <c r="Z26" s="82"/>
      <c r="AA26" s="82"/>
      <c r="AB26" s="82"/>
      <c r="AC26" s="82"/>
      <c r="AD26" s="82"/>
      <c r="AE26" s="82"/>
      <c r="AF26" s="82" t="s">
        <v>82</v>
      </c>
      <c r="AG26" s="82"/>
      <c r="AH26" s="42">
        <v>22</v>
      </c>
    </row>
    <row r="27" spans="2:34" ht="15" customHeight="1" x14ac:dyDescent="0.25">
      <c r="B27" s="72" t="s">
        <v>66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4"/>
      <c r="X27" s="100"/>
      <c r="Y27" s="82"/>
      <c r="Z27" s="82"/>
      <c r="AA27" s="82"/>
      <c r="AB27" s="82"/>
      <c r="AC27" s="82" t="s">
        <v>87</v>
      </c>
      <c r="AD27" s="82"/>
      <c r="AE27" s="82"/>
      <c r="AF27" s="82" t="s">
        <v>81</v>
      </c>
      <c r="AG27" s="82"/>
      <c r="AH27" s="42">
        <v>23</v>
      </c>
    </row>
    <row r="28" spans="2:34" ht="15" customHeight="1" x14ac:dyDescent="0.25">
      <c r="B28" s="72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4"/>
      <c r="X28" s="100"/>
      <c r="Y28" s="82"/>
      <c r="Z28" s="82"/>
      <c r="AA28" s="82"/>
      <c r="AB28" s="82"/>
      <c r="AC28" s="82"/>
      <c r="AD28" s="82"/>
      <c r="AE28" s="82"/>
      <c r="AF28" s="82" t="s">
        <v>82</v>
      </c>
      <c r="AG28" s="82"/>
      <c r="AH28" s="42">
        <v>24</v>
      </c>
    </row>
    <row r="29" spans="2:34" ht="15" customHeight="1" x14ac:dyDescent="0.25">
      <c r="B29" s="62" t="s">
        <v>48</v>
      </c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4"/>
      <c r="X29" s="100" t="s">
        <v>95</v>
      </c>
      <c r="Y29" s="82"/>
      <c r="Z29" s="82"/>
      <c r="AA29" s="82" t="s">
        <v>80</v>
      </c>
      <c r="AB29" s="82"/>
      <c r="AC29" s="82" t="s">
        <v>86</v>
      </c>
      <c r="AD29" s="82"/>
      <c r="AE29" s="82"/>
      <c r="AF29" s="82" t="s">
        <v>81</v>
      </c>
      <c r="AG29" s="82"/>
      <c r="AH29" s="42">
        <v>25</v>
      </c>
    </row>
    <row r="30" spans="2:34" ht="15" customHeight="1" x14ac:dyDescent="0.25">
      <c r="B30" s="62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4"/>
      <c r="X30" s="100"/>
      <c r="Y30" s="82"/>
      <c r="Z30" s="82"/>
      <c r="AA30" s="82"/>
      <c r="AB30" s="82"/>
      <c r="AC30" s="82"/>
      <c r="AD30" s="82"/>
      <c r="AE30" s="82"/>
      <c r="AF30" s="82" t="s">
        <v>82</v>
      </c>
      <c r="AG30" s="82"/>
      <c r="AH30" s="42">
        <v>26</v>
      </c>
    </row>
    <row r="31" spans="2:34" ht="15" customHeight="1" x14ac:dyDescent="0.25">
      <c r="B31" s="62" t="s">
        <v>49</v>
      </c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4"/>
      <c r="X31" s="100"/>
      <c r="Y31" s="82"/>
      <c r="Z31" s="82"/>
      <c r="AA31" s="82"/>
      <c r="AB31" s="82"/>
      <c r="AC31" s="82" t="s">
        <v>87</v>
      </c>
      <c r="AD31" s="82"/>
      <c r="AE31" s="82"/>
      <c r="AF31" s="82" t="s">
        <v>81</v>
      </c>
      <c r="AG31" s="82"/>
      <c r="AH31" s="42">
        <v>27</v>
      </c>
    </row>
    <row r="32" spans="2:34" ht="15" customHeight="1" x14ac:dyDescent="0.25">
      <c r="B32" s="62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4"/>
      <c r="X32" s="100"/>
      <c r="Y32" s="82"/>
      <c r="Z32" s="82"/>
      <c r="AA32" s="82"/>
      <c r="AB32" s="82"/>
      <c r="AC32" s="82"/>
      <c r="AD32" s="82"/>
      <c r="AE32" s="82"/>
      <c r="AF32" s="82" t="s">
        <v>82</v>
      </c>
      <c r="AG32" s="82"/>
      <c r="AH32" s="42">
        <v>28</v>
      </c>
    </row>
    <row r="33" spans="2:34" ht="15" customHeight="1" x14ac:dyDescent="0.25">
      <c r="B33" s="72" t="s">
        <v>67</v>
      </c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4"/>
      <c r="X33" s="100"/>
      <c r="Y33" s="82"/>
      <c r="Z33" s="82"/>
      <c r="AA33" s="82" t="s">
        <v>83</v>
      </c>
      <c r="AB33" s="82"/>
      <c r="AC33" s="82" t="s">
        <v>86</v>
      </c>
      <c r="AD33" s="82"/>
      <c r="AE33" s="82"/>
      <c r="AF33" s="82" t="s">
        <v>81</v>
      </c>
      <c r="AG33" s="82"/>
      <c r="AH33" s="42">
        <v>29</v>
      </c>
    </row>
    <row r="34" spans="2:34" ht="15" customHeight="1" x14ac:dyDescent="0.25">
      <c r="B34" s="72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4"/>
      <c r="X34" s="100"/>
      <c r="Y34" s="82"/>
      <c r="Z34" s="82"/>
      <c r="AA34" s="82"/>
      <c r="AB34" s="82"/>
      <c r="AC34" s="82"/>
      <c r="AD34" s="82"/>
      <c r="AE34" s="82"/>
      <c r="AF34" s="82" t="s">
        <v>82</v>
      </c>
      <c r="AG34" s="82"/>
      <c r="AH34" s="42">
        <v>30</v>
      </c>
    </row>
    <row r="35" spans="2:34" ht="15" customHeight="1" x14ac:dyDescent="0.25">
      <c r="B35" s="95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7"/>
      <c r="X35" s="100"/>
      <c r="Y35" s="82"/>
      <c r="Z35" s="82"/>
      <c r="AA35" s="82"/>
      <c r="AB35" s="82"/>
      <c r="AC35" s="82" t="s">
        <v>87</v>
      </c>
      <c r="AD35" s="82"/>
      <c r="AE35" s="82"/>
      <c r="AF35" s="82" t="s">
        <v>81</v>
      </c>
      <c r="AG35" s="82"/>
      <c r="AH35" s="42">
        <v>31</v>
      </c>
    </row>
    <row r="36" spans="2:34" ht="15" customHeight="1" x14ac:dyDescent="0.25">
      <c r="X36" s="100"/>
      <c r="Y36" s="82"/>
      <c r="Z36" s="82"/>
      <c r="AA36" s="82"/>
      <c r="AB36" s="82"/>
      <c r="AC36" s="82"/>
      <c r="AD36" s="82"/>
      <c r="AE36" s="82"/>
      <c r="AF36" s="82" t="s">
        <v>82</v>
      </c>
      <c r="AG36" s="82"/>
      <c r="AH36" s="42">
        <v>32</v>
      </c>
    </row>
    <row r="37" spans="2:34" ht="15" customHeight="1" x14ac:dyDescent="0.25">
      <c r="X37" s="72" t="s">
        <v>88</v>
      </c>
      <c r="Y37" s="73"/>
      <c r="Z37" s="73"/>
      <c r="AA37" s="73"/>
      <c r="AB37" s="73"/>
      <c r="AC37" s="73"/>
      <c r="AD37" s="73"/>
      <c r="AE37" s="73"/>
      <c r="AF37" s="73"/>
      <c r="AG37" s="73"/>
      <c r="AH37" s="74"/>
    </row>
    <row r="38" spans="2:34" ht="15" customHeight="1" x14ac:dyDescent="0.25">
      <c r="B38" s="108" t="s">
        <v>59</v>
      </c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10"/>
      <c r="X38" s="72"/>
      <c r="Y38" s="73"/>
      <c r="Z38" s="73"/>
      <c r="AA38" s="73"/>
      <c r="AB38" s="73"/>
      <c r="AC38" s="73"/>
      <c r="AD38" s="73"/>
      <c r="AE38" s="73"/>
      <c r="AF38" s="73"/>
      <c r="AG38" s="73"/>
      <c r="AH38" s="74"/>
    </row>
    <row r="39" spans="2:34" ht="15" customHeight="1" x14ac:dyDescent="0.25">
      <c r="B39" s="91"/>
      <c r="C39" s="92"/>
      <c r="D39" s="92"/>
      <c r="E39" s="92"/>
      <c r="F39" s="92"/>
      <c r="G39" s="92"/>
      <c r="H39" s="84" t="s">
        <v>100</v>
      </c>
      <c r="I39" s="85"/>
      <c r="J39" s="91" t="s">
        <v>99</v>
      </c>
      <c r="K39" s="92"/>
      <c r="L39" s="101"/>
      <c r="M39" s="92" t="s">
        <v>98</v>
      </c>
      <c r="N39" s="92"/>
      <c r="O39" s="101"/>
      <c r="X39" s="72"/>
      <c r="Y39" s="73"/>
      <c r="Z39" s="73"/>
      <c r="AA39" s="73"/>
      <c r="AB39" s="73"/>
      <c r="AC39" s="73"/>
      <c r="AD39" s="73"/>
      <c r="AE39" s="73"/>
      <c r="AF39" s="73"/>
      <c r="AG39" s="73"/>
      <c r="AH39" s="74"/>
    </row>
    <row r="40" spans="2:34" x14ac:dyDescent="0.25">
      <c r="B40" s="93"/>
      <c r="C40" s="94"/>
      <c r="D40" s="94"/>
      <c r="E40" s="94"/>
      <c r="F40" s="94"/>
      <c r="G40" s="94"/>
      <c r="H40" s="86" t="s">
        <v>34</v>
      </c>
      <c r="I40" s="87"/>
      <c r="J40" s="33" t="s">
        <v>17</v>
      </c>
      <c r="K40" s="31" t="s">
        <v>35</v>
      </c>
      <c r="L40" s="32" t="s">
        <v>36</v>
      </c>
      <c r="M40" s="31" t="s">
        <v>17</v>
      </c>
      <c r="N40" s="31" t="s">
        <v>35</v>
      </c>
      <c r="O40" s="32" t="s">
        <v>36</v>
      </c>
      <c r="X40" s="95"/>
      <c r="Y40" s="96"/>
      <c r="Z40" s="96"/>
      <c r="AA40" s="96"/>
      <c r="AB40" s="96"/>
      <c r="AC40" s="96"/>
      <c r="AD40" s="96"/>
      <c r="AE40" s="96"/>
      <c r="AF40" s="96"/>
      <c r="AG40" s="96"/>
      <c r="AH40" s="97"/>
    </row>
    <row r="41" spans="2:34" x14ac:dyDescent="0.25">
      <c r="B41" s="98" t="s">
        <v>30</v>
      </c>
      <c r="C41" s="75"/>
      <c r="D41" s="75"/>
      <c r="E41" s="75"/>
      <c r="F41" s="75" t="s">
        <v>32</v>
      </c>
      <c r="G41" s="75"/>
      <c r="H41" s="75" t="s">
        <v>104</v>
      </c>
      <c r="I41" s="75"/>
      <c r="J41" s="34">
        <v>0.9</v>
      </c>
      <c r="K41" s="35">
        <v>1</v>
      </c>
      <c r="L41" s="36">
        <v>1</v>
      </c>
      <c r="M41" s="35">
        <v>0.9</v>
      </c>
      <c r="N41" s="35">
        <v>1</v>
      </c>
      <c r="O41" s="36">
        <v>1</v>
      </c>
      <c r="X41" s="72" t="s">
        <v>90</v>
      </c>
      <c r="Y41" s="73"/>
      <c r="Z41" s="73"/>
      <c r="AA41" s="73"/>
      <c r="AB41" s="73"/>
      <c r="AC41" s="73"/>
      <c r="AD41" s="73"/>
      <c r="AE41" s="73"/>
      <c r="AF41" s="73"/>
      <c r="AG41" s="73"/>
      <c r="AH41" s="74"/>
    </row>
    <row r="42" spans="2:34" x14ac:dyDescent="0.25">
      <c r="B42" s="99"/>
      <c r="C42" s="83"/>
      <c r="D42" s="83"/>
      <c r="E42" s="83"/>
      <c r="F42" s="83" t="s">
        <v>33</v>
      </c>
      <c r="G42" s="83"/>
      <c r="H42" s="83"/>
      <c r="I42" s="83"/>
      <c r="J42" s="37">
        <v>1.1000000000000001</v>
      </c>
      <c r="K42" s="38">
        <v>1.3</v>
      </c>
      <c r="L42" s="39">
        <v>1</v>
      </c>
      <c r="M42" s="38">
        <v>1.1000000000000001</v>
      </c>
      <c r="N42" s="38">
        <v>1.3</v>
      </c>
      <c r="O42" s="39">
        <v>1</v>
      </c>
      <c r="X42" s="72"/>
      <c r="Y42" s="73"/>
      <c r="Z42" s="73"/>
      <c r="AA42" s="73"/>
      <c r="AB42" s="73"/>
      <c r="AC42" s="73"/>
      <c r="AD42" s="73"/>
      <c r="AE42" s="73"/>
      <c r="AF42" s="73"/>
      <c r="AG42" s="73"/>
      <c r="AH42" s="74"/>
    </row>
    <row r="43" spans="2:34" x14ac:dyDescent="0.25">
      <c r="B43" s="98" t="s">
        <v>37</v>
      </c>
      <c r="C43" s="75"/>
      <c r="D43" s="75"/>
      <c r="E43" s="75"/>
      <c r="F43" s="75" t="s">
        <v>32</v>
      </c>
      <c r="G43" s="75"/>
      <c r="H43" s="75" t="s">
        <v>105</v>
      </c>
      <c r="I43" s="75"/>
      <c r="J43" s="34">
        <v>0</v>
      </c>
      <c r="K43" s="35">
        <v>0</v>
      </c>
      <c r="L43" s="36">
        <v>0</v>
      </c>
      <c r="M43" s="35">
        <v>0.8</v>
      </c>
      <c r="N43" s="35">
        <v>0.8</v>
      </c>
      <c r="O43" s="36">
        <v>0.8</v>
      </c>
      <c r="X43" s="72"/>
      <c r="Y43" s="73"/>
      <c r="Z43" s="73"/>
      <c r="AA43" s="73"/>
      <c r="AB43" s="73"/>
      <c r="AC43" s="73"/>
      <c r="AD43" s="73"/>
      <c r="AE43" s="73"/>
      <c r="AF43" s="73"/>
      <c r="AG43" s="73"/>
      <c r="AH43" s="74"/>
    </row>
    <row r="44" spans="2:34" x14ac:dyDescent="0.25">
      <c r="B44" s="99"/>
      <c r="C44" s="83"/>
      <c r="D44" s="83"/>
      <c r="E44" s="83"/>
      <c r="F44" s="83" t="s">
        <v>33</v>
      </c>
      <c r="G44" s="83"/>
      <c r="H44" s="83"/>
      <c r="I44" s="83"/>
      <c r="J44" s="37">
        <v>1.5</v>
      </c>
      <c r="K44" s="38">
        <v>1.5</v>
      </c>
      <c r="L44" s="39">
        <v>1.3</v>
      </c>
      <c r="M44" s="38">
        <v>1.5</v>
      </c>
      <c r="N44" s="38">
        <v>1.5</v>
      </c>
      <c r="O44" s="39">
        <v>1.3</v>
      </c>
      <c r="X44" s="95"/>
      <c r="Y44" s="96"/>
      <c r="Z44" s="96"/>
      <c r="AA44" s="96"/>
      <c r="AB44" s="96"/>
      <c r="AC44" s="96"/>
      <c r="AD44" s="96"/>
      <c r="AE44" s="96"/>
      <c r="AF44" s="96"/>
      <c r="AG44" s="96"/>
      <c r="AH44" s="97"/>
    </row>
    <row r="45" spans="2:34" x14ac:dyDescent="0.25">
      <c r="B45" s="100" t="s">
        <v>31</v>
      </c>
      <c r="C45" s="82"/>
      <c r="D45" s="82"/>
      <c r="E45" s="82"/>
      <c r="F45" s="82" t="s">
        <v>32</v>
      </c>
      <c r="G45" s="82"/>
      <c r="H45" s="82" t="s">
        <v>106</v>
      </c>
      <c r="I45" s="82"/>
      <c r="J45" s="34">
        <v>0</v>
      </c>
      <c r="K45" s="35">
        <v>0</v>
      </c>
      <c r="L45" s="36">
        <v>0</v>
      </c>
      <c r="M45" s="40">
        <v>0</v>
      </c>
      <c r="N45" s="40">
        <v>0</v>
      </c>
      <c r="O45" s="41">
        <v>0</v>
      </c>
    </row>
    <row r="46" spans="2:34" x14ac:dyDescent="0.25">
      <c r="B46" s="99"/>
      <c r="C46" s="83"/>
      <c r="D46" s="83"/>
      <c r="E46" s="83"/>
      <c r="F46" s="83" t="s">
        <v>33</v>
      </c>
      <c r="G46" s="83"/>
      <c r="H46" s="83"/>
      <c r="I46" s="83"/>
      <c r="J46" s="37">
        <v>1.5</v>
      </c>
      <c r="K46" s="38">
        <v>1.5</v>
      </c>
      <c r="L46" s="39">
        <v>1.3</v>
      </c>
      <c r="M46" s="38">
        <v>1.5</v>
      </c>
      <c r="N46" s="38">
        <v>1.5</v>
      </c>
      <c r="O46" s="39">
        <v>1.3</v>
      </c>
    </row>
    <row r="47" spans="2:34" ht="15" customHeight="1" x14ac:dyDescent="0.25">
      <c r="B47" s="111" t="s">
        <v>38</v>
      </c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3"/>
    </row>
    <row r="48" spans="2:34" x14ac:dyDescent="0.25">
      <c r="B48" s="114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6"/>
    </row>
    <row r="49" spans="2:21" x14ac:dyDescent="0.25">
      <c r="B49" s="114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6"/>
    </row>
    <row r="50" spans="2:21" x14ac:dyDescent="0.25">
      <c r="B50" s="117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9"/>
    </row>
    <row r="53" spans="2:21" x14ac:dyDescent="0.25">
      <c r="B53" s="108" t="s">
        <v>58</v>
      </c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10"/>
    </row>
    <row r="54" spans="2:21" x14ac:dyDescent="0.25">
      <c r="B54" s="91" t="s">
        <v>18</v>
      </c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101"/>
      <c r="P54" s="91" t="s">
        <v>99</v>
      </c>
      <c r="Q54" s="92"/>
      <c r="R54" s="101"/>
      <c r="S54" s="92" t="s">
        <v>98</v>
      </c>
      <c r="T54" s="92"/>
      <c r="U54" s="101"/>
    </row>
    <row r="55" spans="2:21" ht="18" x14ac:dyDescent="0.25">
      <c r="B55" s="105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7"/>
      <c r="P55" s="33" t="s">
        <v>101</v>
      </c>
      <c r="Q55" s="31" t="s">
        <v>102</v>
      </c>
      <c r="R55" s="32" t="s">
        <v>103</v>
      </c>
      <c r="S55" s="33" t="s">
        <v>101</v>
      </c>
      <c r="T55" s="31" t="s">
        <v>102</v>
      </c>
      <c r="U55" s="32" t="s">
        <v>103</v>
      </c>
    </row>
    <row r="56" spans="2:21" x14ac:dyDescent="0.25">
      <c r="B56" s="102" t="s">
        <v>19</v>
      </c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4"/>
      <c r="P56" s="43">
        <v>0.7</v>
      </c>
      <c r="Q56" s="43">
        <v>0.5</v>
      </c>
      <c r="R56" s="44">
        <v>0.3</v>
      </c>
      <c r="S56" s="43">
        <v>0.7</v>
      </c>
      <c r="T56" s="43">
        <v>0.5</v>
      </c>
      <c r="U56" s="44">
        <v>0.3</v>
      </c>
    </row>
    <row r="57" spans="2:21" x14ac:dyDescent="0.25">
      <c r="B57" s="102" t="s">
        <v>20</v>
      </c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4"/>
      <c r="P57" s="43">
        <v>0.7</v>
      </c>
      <c r="Q57" s="43">
        <v>0.5</v>
      </c>
      <c r="R57" s="44">
        <v>0.3</v>
      </c>
      <c r="S57" s="43">
        <v>0.7</v>
      </c>
      <c r="T57" s="43">
        <v>0.5</v>
      </c>
      <c r="U57" s="44">
        <v>0.3</v>
      </c>
    </row>
    <row r="58" spans="2:21" x14ac:dyDescent="0.25">
      <c r="B58" s="102" t="s">
        <v>21</v>
      </c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4"/>
      <c r="P58" s="43">
        <v>0.7</v>
      </c>
      <c r="Q58" s="43">
        <v>0.7</v>
      </c>
      <c r="R58" s="44">
        <v>0.6</v>
      </c>
      <c r="S58" s="43">
        <v>0.7</v>
      </c>
      <c r="T58" s="43">
        <v>0.7</v>
      </c>
      <c r="U58" s="44">
        <v>0.6</v>
      </c>
    </row>
    <row r="59" spans="2:21" x14ac:dyDescent="0.25">
      <c r="B59" s="102" t="s">
        <v>22</v>
      </c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4"/>
      <c r="P59" s="43">
        <v>0.7</v>
      </c>
      <c r="Q59" s="43">
        <v>0.7</v>
      </c>
      <c r="R59" s="44">
        <v>0.6</v>
      </c>
      <c r="S59" s="43">
        <v>0.7</v>
      </c>
      <c r="T59" s="43">
        <v>0.7</v>
      </c>
      <c r="U59" s="44">
        <v>0.6</v>
      </c>
    </row>
    <row r="60" spans="2:21" x14ac:dyDescent="0.25">
      <c r="B60" s="102" t="s">
        <v>108</v>
      </c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4"/>
      <c r="P60" s="43">
        <v>1</v>
      </c>
      <c r="Q60" s="43">
        <v>0.9</v>
      </c>
      <c r="R60" s="44">
        <v>0.8</v>
      </c>
      <c r="S60" s="43">
        <v>1</v>
      </c>
      <c r="T60" s="43">
        <v>0.9</v>
      </c>
      <c r="U60" s="44">
        <v>0.8</v>
      </c>
    </row>
    <row r="61" spans="2:21" x14ac:dyDescent="0.25">
      <c r="B61" s="102" t="s">
        <v>23</v>
      </c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4"/>
      <c r="P61" s="43">
        <v>0.7</v>
      </c>
      <c r="Q61" s="43">
        <v>0.7</v>
      </c>
      <c r="R61" s="44">
        <v>0.6</v>
      </c>
      <c r="S61" s="43">
        <v>0.7</v>
      </c>
      <c r="T61" s="43">
        <v>0.7</v>
      </c>
      <c r="U61" s="44">
        <v>0.6</v>
      </c>
    </row>
    <row r="62" spans="2:21" x14ac:dyDescent="0.25">
      <c r="B62" s="102" t="s">
        <v>24</v>
      </c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4"/>
      <c r="P62" s="43">
        <v>0.7</v>
      </c>
      <c r="Q62" s="43">
        <v>0.5</v>
      </c>
      <c r="R62" s="44">
        <v>0.3</v>
      </c>
      <c r="S62" s="43">
        <v>0.7</v>
      </c>
      <c r="T62" s="43">
        <v>0.5</v>
      </c>
      <c r="U62" s="44">
        <v>0.3</v>
      </c>
    </row>
    <row r="63" spans="2:21" x14ac:dyDescent="0.25">
      <c r="B63" s="102" t="s">
        <v>25</v>
      </c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4"/>
      <c r="P63" s="43">
        <v>0</v>
      </c>
      <c r="Q63" s="43">
        <v>0</v>
      </c>
      <c r="R63" s="44">
        <v>0</v>
      </c>
      <c r="S63" s="43">
        <v>0</v>
      </c>
      <c r="T63" s="43">
        <v>0</v>
      </c>
      <c r="U63" s="44">
        <v>0</v>
      </c>
    </row>
    <row r="64" spans="2:21" x14ac:dyDescent="0.25">
      <c r="B64" s="102" t="s">
        <v>26</v>
      </c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4"/>
      <c r="P64" s="120" t="s">
        <v>29</v>
      </c>
      <c r="Q64" s="121"/>
      <c r="R64" s="122"/>
      <c r="S64" s="120" t="s">
        <v>29</v>
      </c>
      <c r="T64" s="121"/>
      <c r="U64" s="122"/>
    </row>
    <row r="65" spans="2:21" x14ac:dyDescent="0.25">
      <c r="B65" s="102" t="s">
        <v>109</v>
      </c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4"/>
      <c r="P65" s="123"/>
      <c r="Q65" s="124"/>
      <c r="R65" s="125"/>
      <c r="S65" s="123"/>
      <c r="T65" s="124"/>
      <c r="U65" s="125"/>
    </row>
    <row r="66" spans="2:21" x14ac:dyDescent="0.25">
      <c r="B66" s="102" t="s">
        <v>16</v>
      </c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4"/>
      <c r="P66" s="43">
        <v>0.6</v>
      </c>
      <c r="Q66" s="43">
        <v>0.2</v>
      </c>
      <c r="R66" s="44">
        <v>0</v>
      </c>
      <c r="S66" s="43">
        <v>0.6</v>
      </c>
      <c r="T66" s="43">
        <v>0.2</v>
      </c>
      <c r="U66" s="44">
        <v>0</v>
      </c>
    </row>
    <row r="67" spans="2:21" x14ac:dyDescent="0.25">
      <c r="B67" s="102" t="s">
        <v>27</v>
      </c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4"/>
      <c r="P67" s="43">
        <v>0.5</v>
      </c>
      <c r="Q67" s="43">
        <v>0.2</v>
      </c>
      <c r="R67" s="44">
        <v>0</v>
      </c>
      <c r="S67" s="43">
        <v>0.5</v>
      </c>
      <c r="T67" s="43">
        <v>0.2</v>
      </c>
      <c r="U67" s="44">
        <v>0</v>
      </c>
    </row>
    <row r="68" spans="2:21" x14ac:dyDescent="0.25">
      <c r="B68" s="102" t="s">
        <v>28</v>
      </c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4"/>
      <c r="P68" s="43">
        <v>0.7</v>
      </c>
      <c r="Q68" s="43">
        <v>0.5</v>
      </c>
      <c r="R68" s="44">
        <v>0.2</v>
      </c>
      <c r="S68" s="43">
        <v>0.7</v>
      </c>
      <c r="T68" s="43">
        <v>0.5</v>
      </c>
      <c r="U68" s="44">
        <v>0.2</v>
      </c>
    </row>
    <row r="69" spans="2:21" x14ac:dyDescent="0.25">
      <c r="B69" s="102" t="s">
        <v>15</v>
      </c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4"/>
      <c r="P69" s="43">
        <v>0.6</v>
      </c>
      <c r="Q69" s="43">
        <v>0.5</v>
      </c>
      <c r="R69" s="44">
        <v>0</v>
      </c>
      <c r="S69" s="43">
        <v>0.6</v>
      </c>
      <c r="T69" s="43">
        <v>0.5</v>
      </c>
      <c r="U69" s="44">
        <v>0</v>
      </c>
    </row>
    <row r="200" spans="54:54" x14ac:dyDescent="0.25">
      <c r="BB200" s="5">
        <v>196</v>
      </c>
    </row>
  </sheetData>
  <mergeCells count="134">
    <mergeCell ref="B66:O66"/>
    <mergeCell ref="B67:O67"/>
    <mergeCell ref="B68:O68"/>
    <mergeCell ref="B69:O69"/>
    <mergeCell ref="B54:O55"/>
    <mergeCell ref="B53:U53"/>
    <mergeCell ref="M39:O39"/>
    <mergeCell ref="B38:O38"/>
    <mergeCell ref="B47:O50"/>
    <mergeCell ref="P54:R54"/>
    <mergeCell ref="S54:U54"/>
    <mergeCell ref="S64:U65"/>
    <mergeCell ref="B60:O60"/>
    <mergeCell ref="B56:O56"/>
    <mergeCell ref="B57:O57"/>
    <mergeCell ref="B58:O58"/>
    <mergeCell ref="B59:O59"/>
    <mergeCell ref="B61:O61"/>
    <mergeCell ref="B62:O62"/>
    <mergeCell ref="B63:O63"/>
    <mergeCell ref="B64:O64"/>
    <mergeCell ref="B65:O65"/>
    <mergeCell ref="P64:R65"/>
    <mergeCell ref="X41:AH44"/>
    <mergeCell ref="AF33:AG33"/>
    <mergeCell ref="AF34:AG34"/>
    <mergeCell ref="AF35:AG35"/>
    <mergeCell ref="AF36:AG36"/>
    <mergeCell ref="X37:AH40"/>
    <mergeCell ref="AF28:AG28"/>
    <mergeCell ref="AF29:AG29"/>
    <mergeCell ref="AF30:AG30"/>
    <mergeCell ref="AF31:AG31"/>
    <mergeCell ref="AF32:AG32"/>
    <mergeCell ref="AC31:AE32"/>
    <mergeCell ref="AC33:AE34"/>
    <mergeCell ref="AC35:AE36"/>
    <mergeCell ref="AF5:AG5"/>
    <mergeCell ref="AF6:AG6"/>
    <mergeCell ref="AF7:AG7"/>
    <mergeCell ref="AF8:AG8"/>
    <mergeCell ref="AF9:AG9"/>
    <mergeCell ref="AF10:AG10"/>
    <mergeCell ref="AF11:AG11"/>
    <mergeCell ref="AF12:AG12"/>
    <mergeCell ref="AF13:AG13"/>
    <mergeCell ref="AF14:AG14"/>
    <mergeCell ref="AF15:AG15"/>
    <mergeCell ref="AF16:AG16"/>
    <mergeCell ref="AF17:AG17"/>
    <mergeCell ref="AC21:AE22"/>
    <mergeCell ref="AC23:AE24"/>
    <mergeCell ref="AC25:AE26"/>
    <mergeCell ref="AC27:AE28"/>
    <mergeCell ref="AC29:AE30"/>
    <mergeCell ref="AF23:AG23"/>
    <mergeCell ref="AF24:AG24"/>
    <mergeCell ref="AF25:AG25"/>
    <mergeCell ref="AF26:AG26"/>
    <mergeCell ref="AF27:AG27"/>
    <mergeCell ref="AF18:AG18"/>
    <mergeCell ref="AF19:AG19"/>
    <mergeCell ref="AF20:AG20"/>
    <mergeCell ref="AF21:AG21"/>
    <mergeCell ref="AF22:AG22"/>
    <mergeCell ref="AA21:AB24"/>
    <mergeCell ref="AA25:AB28"/>
    <mergeCell ref="AA29:AB32"/>
    <mergeCell ref="AA33:AB36"/>
    <mergeCell ref="X13:Z20"/>
    <mergeCell ref="X5:Z12"/>
    <mergeCell ref="X21:Z28"/>
    <mergeCell ref="X29:Z36"/>
    <mergeCell ref="AA5:AB8"/>
    <mergeCell ref="AA9:AB12"/>
    <mergeCell ref="AA13:AB16"/>
    <mergeCell ref="AA17:AB20"/>
    <mergeCell ref="AC5:AE6"/>
    <mergeCell ref="AC7:AE8"/>
    <mergeCell ref="AC9:AE10"/>
    <mergeCell ref="AC11:AE12"/>
    <mergeCell ref="AC13:AE14"/>
    <mergeCell ref="AC15:AE16"/>
    <mergeCell ref="AC17:AE18"/>
    <mergeCell ref="AC19:AE20"/>
    <mergeCell ref="X4:Z4"/>
    <mergeCell ref="AA4:AB4"/>
    <mergeCell ref="AC4:AE4"/>
    <mergeCell ref="AF4:AG4"/>
    <mergeCell ref="X2:AH3"/>
    <mergeCell ref="F45:G45"/>
    <mergeCell ref="F46:G46"/>
    <mergeCell ref="H39:I39"/>
    <mergeCell ref="H40:I40"/>
    <mergeCell ref="H41:I42"/>
    <mergeCell ref="H43:I44"/>
    <mergeCell ref="H45:I46"/>
    <mergeCell ref="B6:M6"/>
    <mergeCell ref="B4:M5"/>
    <mergeCell ref="B39:G40"/>
    <mergeCell ref="B29:M30"/>
    <mergeCell ref="B33:M35"/>
    <mergeCell ref="B43:E44"/>
    <mergeCell ref="B41:E42"/>
    <mergeCell ref="B45:E46"/>
    <mergeCell ref="F41:G41"/>
    <mergeCell ref="F42:G42"/>
    <mergeCell ref="F43:G43"/>
    <mergeCell ref="F44:G44"/>
    <mergeCell ref="J39:L39"/>
    <mergeCell ref="C2:M3"/>
    <mergeCell ref="B2:B3"/>
    <mergeCell ref="B31:M32"/>
    <mergeCell ref="B7:L8"/>
    <mergeCell ref="M7:M8"/>
    <mergeCell ref="M10:M11"/>
    <mergeCell ref="B13:L14"/>
    <mergeCell ref="M13:M14"/>
    <mergeCell ref="B16:L17"/>
    <mergeCell ref="M16:M17"/>
    <mergeCell ref="B19:L20"/>
    <mergeCell ref="B21:M21"/>
    <mergeCell ref="B24:M24"/>
    <mergeCell ref="B27:M28"/>
    <mergeCell ref="B10:L11"/>
    <mergeCell ref="B9:M9"/>
    <mergeCell ref="B22:L23"/>
    <mergeCell ref="M22:M23"/>
    <mergeCell ref="B25:L26"/>
    <mergeCell ref="B12:M12"/>
    <mergeCell ref="B15:M15"/>
    <mergeCell ref="B18:M18"/>
    <mergeCell ref="M19:M20"/>
    <mergeCell ref="M25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FF2A-BF7E-4D1E-B7D2-6CF9142D8DD7}">
  <sheetPr codeName="Foglio1"/>
  <dimension ref="A1:BS908"/>
  <sheetViews>
    <sheetView tabSelected="1" topLeftCell="G1" zoomScaleNormal="100" workbookViewId="0">
      <selection activeCell="S20" sqref="S20"/>
    </sheetView>
  </sheetViews>
  <sheetFormatPr defaultRowHeight="15" x14ac:dyDescent="0.25"/>
  <cols>
    <col min="1" max="1" width="9.140625" style="46"/>
    <col min="2" max="2" width="9.140625" style="9"/>
    <col min="4" max="7" width="9.140625" style="2"/>
    <col min="8" max="8" width="9.140625" style="8"/>
    <col min="10" max="13" width="9.140625" style="2"/>
    <col min="14" max="14" width="9.140625" style="8"/>
    <col min="15" max="15" width="9.140625" style="10"/>
    <col min="16" max="22" width="9.140625" style="2"/>
    <col min="23" max="23" width="9.140625" style="8"/>
    <col min="25" max="28" width="9.140625" style="2"/>
    <col min="29" max="29" width="9.140625" style="8"/>
    <col min="31" max="31" width="9.140625" style="20"/>
    <col min="32" max="37" width="9.140625" style="2"/>
    <col min="38" max="38" width="9.140625" style="18"/>
    <col min="39" max="39" width="9.140625" style="17"/>
    <col min="40" max="40" width="9.140625" style="11"/>
    <col min="41" max="45" width="9.140625" style="2"/>
    <col min="46" max="46" width="9.140625" style="18"/>
    <col min="47" max="47" width="9.140625" style="21"/>
    <col min="48" max="48" width="9.140625" style="11"/>
    <col min="49" max="53" width="9.140625" style="2"/>
    <col min="54" max="54" width="9.140625" style="18"/>
    <col min="55" max="55" width="9.140625" style="10"/>
    <col min="63" max="63" width="9.140625" style="20"/>
    <col min="64" max="69" width="9.140625" style="2"/>
    <col min="70" max="70" width="9.140625" style="18"/>
    <col min="72" max="16384" width="9.140625" style="2"/>
  </cols>
  <sheetData>
    <row r="1" spans="1:70" ht="15" customHeight="1" x14ac:dyDescent="0.25">
      <c r="A1" s="158" t="s">
        <v>115</v>
      </c>
      <c r="B1" s="159"/>
      <c r="C1" s="12" t="s">
        <v>8</v>
      </c>
      <c r="D1" s="24"/>
      <c r="E1" s="136" t="s">
        <v>4</v>
      </c>
      <c r="F1" s="136"/>
      <c r="G1" s="136"/>
      <c r="H1" s="137"/>
      <c r="I1" s="23" t="s">
        <v>8</v>
      </c>
      <c r="J1" s="24"/>
      <c r="K1" s="136" t="s">
        <v>5</v>
      </c>
      <c r="L1" s="136"/>
      <c r="M1" s="136"/>
      <c r="N1" s="137"/>
      <c r="O1" s="1" t="s">
        <v>8</v>
      </c>
      <c r="P1" s="24"/>
      <c r="Q1" s="136" t="s">
        <v>6</v>
      </c>
      <c r="R1" s="136"/>
      <c r="S1" s="136"/>
      <c r="T1" s="136"/>
      <c r="U1" s="136"/>
      <c r="V1" s="136"/>
      <c r="W1" s="137"/>
      <c r="X1" s="23" t="s">
        <v>8</v>
      </c>
      <c r="Y1" s="24"/>
      <c r="Z1" s="136" t="s">
        <v>69</v>
      </c>
      <c r="AA1" s="136"/>
      <c r="AB1" s="136"/>
      <c r="AC1" s="137"/>
      <c r="AF1" s="16" t="s">
        <v>8</v>
      </c>
      <c r="AG1" s="150" t="s">
        <v>118</v>
      </c>
      <c r="AH1" s="150"/>
      <c r="AI1" s="150"/>
      <c r="AJ1" s="150"/>
      <c r="AK1" s="150"/>
      <c r="AL1" s="151"/>
      <c r="AN1" s="14" t="s">
        <v>8</v>
      </c>
      <c r="AO1" s="145" t="s">
        <v>13</v>
      </c>
      <c r="AP1" s="145"/>
      <c r="AQ1" s="145"/>
      <c r="AR1" s="145"/>
      <c r="AS1" s="145"/>
      <c r="AT1" s="146"/>
      <c r="AV1" s="14" t="s">
        <v>8</v>
      </c>
      <c r="AW1" s="145" t="s">
        <v>14</v>
      </c>
      <c r="AX1" s="145"/>
      <c r="AY1" s="145"/>
      <c r="AZ1" s="145"/>
      <c r="BA1" s="145"/>
      <c r="BB1" s="146"/>
      <c r="BC1" s="21"/>
      <c r="BD1" s="14" t="s">
        <v>8</v>
      </c>
      <c r="BE1" s="145" t="s">
        <v>71</v>
      </c>
      <c r="BF1" s="145"/>
      <c r="BG1" s="145"/>
      <c r="BH1" s="145"/>
      <c r="BI1" s="145"/>
      <c r="BJ1" s="146"/>
      <c r="BK1" s="21"/>
      <c r="BL1" s="29" t="s">
        <v>8</v>
      </c>
      <c r="BM1" s="130" t="s">
        <v>72</v>
      </c>
      <c r="BN1" s="130"/>
      <c r="BO1" s="130"/>
      <c r="BP1" s="130"/>
      <c r="BQ1" s="130"/>
      <c r="BR1" s="131"/>
    </row>
    <row r="2" spans="1:70" x14ac:dyDescent="0.25">
      <c r="A2" s="160"/>
      <c r="B2" s="161"/>
      <c r="C2" s="13">
        <v>5</v>
      </c>
      <c r="D2" s="25"/>
      <c r="E2" s="138"/>
      <c r="F2" s="138"/>
      <c r="G2" s="138"/>
      <c r="H2" s="139"/>
      <c r="I2" s="13" t="s">
        <v>3</v>
      </c>
      <c r="J2" s="25"/>
      <c r="K2" s="138"/>
      <c r="L2" s="138"/>
      <c r="M2" s="138"/>
      <c r="N2" s="139"/>
      <c r="O2" s="3">
        <v>5</v>
      </c>
      <c r="P2" s="25"/>
      <c r="Q2" s="138"/>
      <c r="R2" s="138"/>
      <c r="S2" s="138"/>
      <c r="T2" s="138"/>
      <c r="U2" s="138"/>
      <c r="V2" s="138"/>
      <c r="W2" s="139"/>
      <c r="X2" s="13">
        <v>3</v>
      </c>
      <c r="Y2" s="25"/>
      <c r="Z2" s="138"/>
      <c r="AA2" s="138"/>
      <c r="AB2" s="138"/>
      <c r="AC2" s="139"/>
      <c r="AF2" s="16" t="s">
        <v>3</v>
      </c>
      <c r="AG2" s="150"/>
      <c r="AH2" s="150"/>
      <c r="AI2" s="150"/>
      <c r="AJ2" s="150"/>
      <c r="AK2" s="150"/>
      <c r="AL2" s="151"/>
      <c r="AN2" s="15" t="s">
        <v>3</v>
      </c>
      <c r="AO2" s="147"/>
      <c r="AP2" s="147"/>
      <c r="AQ2" s="147"/>
      <c r="AR2" s="147"/>
      <c r="AS2" s="147"/>
      <c r="AT2" s="148"/>
      <c r="AV2" s="15" t="s">
        <v>3</v>
      </c>
      <c r="AW2" s="147"/>
      <c r="AX2" s="147"/>
      <c r="AY2" s="147"/>
      <c r="AZ2" s="147"/>
      <c r="BA2" s="147"/>
      <c r="BB2" s="148"/>
      <c r="BC2" s="21"/>
      <c r="BD2" s="15" t="s">
        <v>3</v>
      </c>
      <c r="BE2" s="147"/>
      <c r="BF2" s="147"/>
      <c r="BG2" s="147"/>
      <c r="BH2" s="147"/>
      <c r="BI2" s="147"/>
      <c r="BJ2" s="148"/>
      <c r="BK2" s="21"/>
      <c r="BL2" s="30" t="s">
        <v>3</v>
      </c>
      <c r="BM2" s="132"/>
      <c r="BN2" s="132"/>
      <c r="BO2" s="132"/>
      <c r="BP2" s="132"/>
      <c r="BQ2" s="132"/>
      <c r="BR2" s="133"/>
    </row>
    <row r="3" spans="1:70" ht="15" customHeight="1" x14ac:dyDescent="0.25">
      <c r="A3" s="156" t="s">
        <v>117</v>
      </c>
      <c r="B3" s="157"/>
      <c r="C3" s="140" t="s">
        <v>7</v>
      </c>
      <c r="D3" s="135" t="s">
        <v>96</v>
      </c>
      <c r="E3" s="141" t="s">
        <v>1</v>
      </c>
      <c r="F3" s="141"/>
      <c r="G3" s="143" t="s">
        <v>12</v>
      </c>
      <c r="H3" s="142"/>
      <c r="I3" s="140" t="s">
        <v>7</v>
      </c>
      <c r="J3" s="135" t="s">
        <v>97</v>
      </c>
      <c r="K3" s="141" t="s">
        <v>1</v>
      </c>
      <c r="L3" s="141"/>
      <c r="M3" s="141" t="s">
        <v>12</v>
      </c>
      <c r="N3" s="9"/>
      <c r="O3" s="140" t="s">
        <v>7</v>
      </c>
      <c r="P3" s="135" t="s">
        <v>107</v>
      </c>
      <c r="Q3" s="141" t="s">
        <v>1</v>
      </c>
      <c r="R3" s="141"/>
      <c r="S3" s="141" t="s">
        <v>12</v>
      </c>
      <c r="T3" s="141" t="s">
        <v>0</v>
      </c>
      <c r="U3" s="141"/>
      <c r="V3" s="141"/>
      <c r="X3" s="140" t="s">
        <v>73</v>
      </c>
      <c r="Y3" s="135" t="s">
        <v>70</v>
      </c>
      <c r="Z3" s="141" t="s">
        <v>91</v>
      </c>
      <c r="AA3" s="141"/>
      <c r="AB3" s="141"/>
      <c r="AC3" s="5"/>
      <c r="AF3" s="134" t="s">
        <v>9</v>
      </c>
      <c r="AG3" s="135" t="s">
        <v>10</v>
      </c>
      <c r="AH3" s="135"/>
      <c r="AI3" s="135"/>
      <c r="AJ3" s="135" t="s">
        <v>11</v>
      </c>
      <c r="AK3" s="135"/>
      <c r="AL3" s="2"/>
      <c r="AN3" s="134" t="s">
        <v>9</v>
      </c>
      <c r="AO3" s="135" t="s">
        <v>10</v>
      </c>
      <c r="AP3" s="135"/>
      <c r="AQ3" s="135"/>
      <c r="AR3" s="135" t="s">
        <v>11</v>
      </c>
      <c r="AS3" s="135"/>
      <c r="AT3" s="2"/>
      <c r="AV3" s="134" t="s">
        <v>9</v>
      </c>
      <c r="AW3" s="135" t="s">
        <v>10</v>
      </c>
      <c r="AX3" s="135"/>
      <c r="AY3" s="135"/>
      <c r="AZ3" s="135" t="s">
        <v>11</v>
      </c>
      <c r="BA3" s="135"/>
      <c r="BB3" s="2"/>
      <c r="BC3" s="21"/>
      <c r="BD3" s="134" t="s">
        <v>9</v>
      </c>
      <c r="BE3" s="135" t="s">
        <v>10</v>
      </c>
      <c r="BF3" s="135"/>
      <c r="BG3" s="135"/>
      <c r="BH3" s="135" t="s">
        <v>11</v>
      </c>
      <c r="BI3" s="135"/>
      <c r="BJ3" s="5"/>
      <c r="BK3" s="21"/>
      <c r="BL3" s="134" t="s">
        <v>9</v>
      </c>
      <c r="BM3" s="135" t="s">
        <v>10</v>
      </c>
      <c r="BN3" s="135"/>
      <c r="BO3" s="135"/>
      <c r="BP3" s="135" t="s">
        <v>11</v>
      </c>
      <c r="BQ3" s="135"/>
      <c r="BR3" s="2"/>
    </row>
    <row r="4" spans="1:70" x14ac:dyDescent="0.25">
      <c r="A4" s="48" t="s">
        <v>2</v>
      </c>
      <c r="B4" s="49" t="s">
        <v>3</v>
      </c>
      <c r="C4" s="140"/>
      <c r="D4" s="135"/>
      <c r="E4" s="141"/>
      <c r="F4" s="141"/>
      <c r="G4" s="143"/>
      <c r="H4" s="142"/>
      <c r="I4" s="140"/>
      <c r="J4" s="135"/>
      <c r="K4" s="141"/>
      <c r="L4" s="141"/>
      <c r="M4" s="141"/>
      <c r="N4" s="9"/>
      <c r="O4" s="140"/>
      <c r="P4" s="135"/>
      <c r="Q4" s="141"/>
      <c r="R4" s="141"/>
      <c r="S4" s="141"/>
      <c r="T4" s="141"/>
      <c r="U4" s="141"/>
      <c r="V4" s="141"/>
      <c r="X4" s="140"/>
      <c r="Y4" s="135"/>
      <c r="Z4" s="141"/>
      <c r="AA4" s="141"/>
      <c r="AB4" s="141"/>
      <c r="AC4" s="6"/>
      <c r="AF4" s="134"/>
      <c r="AG4" s="135"/>
      <c r="AH4" s="135"/>
      <c r="AI4" s="135"/>
      <c r="AJ4" s="135"/>
      <c r="AK4" s="135"/>
      <c r="AL4" s="2"/>
      <c r="AN4" s="134"/>
      <c r="AO4" s="135"/>
      <c r="AP4" s="135"/>
      <c r="AQ4" s="135"/>
      <c r="AR4" s="135"/>
      <c r="AS4" s="135"/>
      <c r="AT4" s="2"/>
      <c r="AV4" s="134"/>
      <c r="AW4" s="135"/>
      <c r="AX4" s="135"/>
      <c r="AY4" s="135"/>
      <c r="AZ4" s="135"/>
      <c r="BA4" s="135"/>
      <c r="BB4" s="2"/>
      <c r="BC4" s="21"/>
      <c r="BD4" s="134"/>
      <c r="BE4" s="135"/>
      <c r="BF4" s="135"/>
      <c r="BG4" s="135"/>
      <c r="BH4" s="135"/>
      <c r="BI4" s="135"/>
      <c r="BJ4" s="5"/>
      <c r="BK4" s="21"/>
      <c r="BL4" s="134"/>
      <c r="BM4" s="135"/>
      <c r="BN4" s="135"/>
      <c r="BO4" s="135"/>
      <c r="BP4" s="135"/>
      <c r="BQ4" s="135"/>
      <c r="BR4" s="2"/>
    </row>
    <row r="5" spans="1:70" x14ac:dyDescent="0.25">
      <c r="A5" s="152" t="s">
        <v>3</v>
      </c>
      <c r="B5" s="153"/>
      <c r="C5" s="22">
        <v>1</v>
      </c>
      <c r="D5" s="26">
        <v>234</v>
      </c>
      <c r="E5" s="144" t="s">
        <v>119</v>
      </c>
      <c r="F5" s="144"/>
      <c r="G5" s="4" t="s">
        <v>120</v>
      </c>
      <c r="I5" s="22" t="s">
        <v>3</v>
      </c>
      <c r="J5" s="26"/>
      <c r="K5" s="144" t="s">
        <v>3</v>
      </c>
      <c r="L5" s="144"/>
      <c r="M5" s="4" t="s">
        <v>3</v>
      </c>
      <c r="N5" s="9"/>
      <c r="O5" s="7">
        <v>1</v>
      </c>
      <c r="P5" s="26"/>
      <c r="Q5" s="144" t="s">
        <v>119</v>
      </c>
      <c r="R5" s="144"/>
      <c r="S5" s="4" t="s">
        <v>120</v>
      </c>
      <c r="T5" s="144" t="s">
        <v>121</v>
      </c>
      <c r="U5" s="144"/>
      <c r="V5" s="144"/>
      <c r="X5" s="22" t="s">
        <v>74</v>
      </c>
      <c r="Y5" s="26">
        <v>5</v>
      </c>
      <c r="Z5" s="149">
        <v>10</v>
      </c>
      <c r="AA5" s="149"/>
      <c r="AB5" s="149"/>
      <c r="AC5" s="9"/>
      <c r="AF5" s="28" t="s">
        <v>3</v>
      </c>
      <c r="AG5" s="126" t="s">
        <v>3</v>
      </c>
      <c r="AH5" s="126"/>
      <c r="AI5" s="126"/>
      <c r="AJ5" s="126" t="s">
        <v>3</v>
      </c>
      <c r="AK5" s="126"/>
      <c r="AL5"/>
      <c r="AN5" s="19" t="s">
        <v>3</v>
      </c>
      <c r="AO5" s="126" t="s">
        <v>3</v>
      </c>
      <c r="AP5" s="126"/>
      <c r="AQ5" s="126"/>
      <c r="AR5" s="126" t="s">
        <v>3</v>
      </c>
      <c r="AS5" s="126"/>
      <c r="AT5"/>
      <c r="AV5" s="19" t="s">
        <v>3</v>
      </c>
      <c r="AW5" s="126" t="s">
        <v>3</v>
      </c>
      <c r="AX5" s="126"/>
      <c r="AY5" s="126"/>
      <c r="AZ5" s="126" t="s">
        <v>3</v>
      </c>
      <c r="BA5" s="126"/>
      <c r="BB5"/>
      <c r="BC5" s="21"/>
      <c r="BD5" s="128" t="s">
        <v>3</v>
      </c>
      <c r="BE5" s="126" t="s">
        <v>3</v>
      </c>
      <c r="BF5" s="126"/>
      <c r="BG5" s="126"/>
      <c r="BH5" s="126" t="s">
        <v>3</v>
      </c>
      <c r="BI5" s="126"/>
      <c r="BJ5" s="20"/>
      <c r="BK5" s="21"/>
      <c r="BL5" s="28" t="s">
        <v>3</v>
      </c>
      <c r="BM5" s="126" t="s">
        <v>3</v>
      </c>
      <c r="BN5" s="126"/>
      <c r="BO5" s="126"/>
      <c r="BP5" s="126" t="s">
        <v>3</v>
      </c>
      <c r="BQ5" s="126"/>
      <c r="BR5"/>
    </row>
    <row r="6" spans="1:70" x14ac:dyDescent="0.25">
      <c r="A6" s="59" t="s">
        <v>116</v>
      </c>
      <c r="B6" s="61"/>
      <c r="C6" s="22">
        <v>2</v>
      </c>
      <c r="D6" s="26">
        <v>234</v>
      </c>
      <c r="E6" s="162" t="s">
        <v>119</v>
      </c>
      <c r="F6" s="162"/>
      <c r="G6" s="163" t="s">
        <v>120</v>
      </c>
      <c r="H6" s="9"/>
      <c r="I6" s="164"/>
      <c r="J6" s="164"/>
      <c r="K6" s="164"/>
      <c r="L6" s="164"/>
      <c r="M6" s="164"/>
      <c r="N6" s="9"/>
      <c r="O6" s="22">
        <v>2</v>
      </c>
      <c r="P6" s="26"/>
      <c r="Q6" s="162" t="s">
        <v>119</v>
      </c>
      <c r="R6" s="162"/>
      <c r="S6" s="163" t="s">
        <v>120</v>
      </c>
      <c r="T6" s="162" t="s">
        <v>121</v>
      </c>
      <c r="U6" s="162"/>
      <c r="V6" s="162"/>
      <c r="X6" s="22" t="s">
        <v>75</v>
      </c>
      <c r="Y6" s="26">
        <v>8</v>
      </c>
      <c r="Z6" s="149">
        <v>6</v>
      </c>
      <c r="AA6" s="149"/>
      <c r="AB6" s="149"/>
      <c r="AC6" s="9"/>
      <c r="AF6"/>
      <c r="AG6"/>
      <c r="AH6"/>
      <c r="AI6"/>
      <c r="AJ6"/>
      <c r="AK6"/>
      <c r="AL6"/>
      <c r="AN6"/>
      <c r="AO6"/>
      <c r="AP6"/>
      <c r="AQ6"/>
      <c r="AR6"/>
      <c r="AS6"/>
      <c r="AT6"/>
      <c r="AV6"/>
      <c r="AW6"/>
      <c r="AX6"/>
      <c r="AY6"/>
      <c r="AZ6"/>
      <c r="BA6"/>
      <c r="BB6"/>
      <c r="BC6" s="21"/>
      <c r="BD6" s="129"/>
      <c r="BE6" s="127"/>
      <c r="BF6" s="127"/>
      <c r="BG6" s="127"/>
      <c r="BH6" s="127"/>
      <c r="BI6" s="127"/>
      <c r="BJ6" s="20"/>
      <c r="BK6" s="21"/>
      <c r="BL6"/>
      <c r="BM6"/>
      <c r="BN6"/>
      <c r="BO6"/>
      <c r="BP6"/>
      <c r="BQ6"/>
      <c r="BR6"/>
    </row>
    <row r="7" spans="1:70" x14ac:dyDescent="0.25">
      <c r="A7" s="48" t="s">
        <v>2</v>
      </c>
      <c r="B7" s="49" t="s">
        <v>3</v>
      </c>
      <c r="C7" s="22">
        <v>3</v>
      </c>
      <c r="D7" s="26">
        <v>2342423</v>
      </c>
      <c r="E7" s="162" t="s">
        <v>119</v>
      </c>
      <c r="F7" s="162"/>
      <c r="G7" s="163" t="s">
        <v>120</v>
      </c>
      <c r="H7" s="9"/>
      <c r="I7" s="164"/>
      <c r="J7" s="164"/>
      <c r="K7" s="164"/>
      <c r="L7" s="164"/>
      <c r="M7" s="164"/>
      <c r="N7" s="9"/>
      <c r="O7" s="22">
        <v>3</v>
      </c>
      <c r="P7" s="26"/>
      <c r="Q7" s="162" t="s">
        <v>119</v>
      </c>
      <c r="R7" s="162"/>
      <c r="S7" s="163" t="s">
        <v>120</v>
      </c>
      <c r="T7" s="162" t="s">
        <v>121</v>
      </c>
      <c r="U7" s="162"/>
      <c r="V7" s="162"/>
      <c r="X7" s="22" t="s">
        <v>76</v>
      </c>
      <c r="Y7" s="26">
        <v>9</v>
      </c>
      <c r="Z7" s="149">
        <v>8</v>
      </c>
      <c r="AA7" s="149"/>
      <c r="AB7" s="149"/>
      <c r="AC7" s="9"/>
      <c r="AF7"/>
      <c r="AG7"/>
      <c r="AH7"/>
      <c r="AI7"/>
      <c r="AJ7"/>
      <c r="AK7"/>
      <c r="AN7"/>
      <c r="AO7"/>
      <c r="AP7"/>
      <c r="AQ7"/>
      <c r="AR7"/>
      <c r="AS7"/>
      <c r="AV7"/>
      <c r="AW7"/>
      <c r="AX7"/>
      <c r="AY7"/>
      <c r="AZ7"/>
      <c r="BA7"/>
      <c r="BD7" s="27"/>
      <c r="BE7" s="27"/>
      <c r="BF7" s="27"/>
      <c r="BG7" s="27"/>
      <c r="BH7" s="27"/>
      <c r="BI7" s="27"/>
      <c r="BJ7" s="27"/>
      <c r="BL7"/>
      <c r="BM7"/>
      <c r="BN7"/>
      <c r="BO7"/>
      <c r="BP7"/>
      <c r="BQ7"/>
    </row>
    <row r="8" spans="1:70" x14ac:dyDescent="0.25">
      <c r="A8" s="154" t="s">
        <v>3</v>
      </c>
      <c r="B8" s="155"/>
      <c r="C8" s="22">
        <v>4</v>
      </c>
      <c r="D8" s="26">
        <v>42</v>
      </c>
      <c r="E8" s="162" t="s">
        <v>119</v>
      </c>
      <c r="F8" s="162"/>
      <c r="G8" s="163" t="s">
        <v>120</v>
      </c>
      <c r="H8" s="9"/>
      <c r="I8" s="164"/>
      <c r="J8" s="164"/>
      <c r="K8" s="164"/>
      <c r="L8" s="164"/>
      <c r="M8" s="164"/>
      <c r="N8" s="9"/>
      <c r="O8" s="22">
        <v>4</v>
      </c>
      <c r="P8" s="26"/>
      <c r="Q8" s="162" t="s">
        <v>119</v>
      </c>
      <c r="R8" s="162"/>
      <c r="S8" s="163" t="s">
        <v>120</v>
      </c>
      <c r="T8" s="162" t="s">
        <v>121</v>
      </c>
      <c r="U8" s="162"/>
      <c r="V8" s="162"/>
      <c r="Y8"/>
      <c r="Z8"/>
      <c r="AA8"/>
      <c r="AB8"/>
      <c r="AC8" s="9"/>
      <c r="AF8"/>
      <c r="AG8"/>
      <c r="AH8"/>
      <c r="AI8"/>
      <c r="AJ8"/>
      <c r="AK8"/>
      <c r="AN8"/>
      <c r="AO8"/>
      <c r="AP8"/>
      <c r="AQ8"/>
      <c r="AR8"/>
      <c r="AS8"/>
      <c r="AV8"/>
      <c r="AW8"/>
      <c r="AX8"/>
      <c r="AY8"/>
      <c r="AZ8"/>
      <c r="BA8"/>
      <c r="BL8"/>
      <c r="BM8"/>
      <c r="BN8"/>
      <c r="BO8"/>
      <c r="BP8"/>
      <c r="BQ8"/>
    </row>
    <row r="9" spans="1:70" x14ac:dyDescent="0.25">
      <c r="C9" s="22">
        <v>5</v>
      </c>
      <c r="D9" s="26">
        <v>4234</v>
      </c>
      <c r="E9" s="162" t="s">
        <v>119</v>
      </c>
      <c r="F9" s="162"/>
      <c r="G9" s="163" t="s">
        <v>120</v>
      </c>
      <c r="H9" s="9"/>
      <c r="J9"/>
      <c r="K9"/>
      <c r="L9"/>
      <c r="M9"/>
      <c r="N9" s="9"/>
      <c r="O9" s="22">
        <v>5</v>
      </c>
      <c r="P9" s="26"/>
      <c r="Q9" s="162" t="s">
        <v>119</v>
      </c>
      <c r="R9" s="162"/>
      <c r="S9" s="163" t="s">
        <v>120</v>
      </c>
      <c r="T9" s="162" t="s">
        <v>121</v>
      </c>
      <c r="U9" s="162"/>
      <c r="V9" s="162"/>
      <c r="Y9"/>
      <c r="Z9"/>
      <c r="AA9"/>
      <c r="AB9"/>
      <c r="AC9" s="9"/>
      <c r="AF9"/>
      <c r="AG9"/>
      <c r="AH9"/>
      <c r="AI9"/>
      <c r="AJ9"/>
      <c r="AK9"/>
      <c r="AN9"/>
      <c r="AO9"/>
      <c r="AP9"/>
      <c r="AQ9"/>
      <c r="AR9"/>
      <c r="AS9"/>
      <c r="AV9"/>
      <c r="AW9"/>
      <c r="AX9"/>
      <c r="AY9"/>
      <c r="AZ9"/>
      <c r="BA9"/>
      <c r="BL9"/>
      <c r="BM9"/>
      <c r="BN9"/>
      <c r="BO9"/>
      <c r="BP9"/>
      <c r="BQ9"/>
    </row>
    <row r="10" spans="1:70" x14ac:dyDescent="0.25">
      <c r="C10" s="164"/>
      <c r="D10" s="164"/>
      <c r="E10" s="164"/>
      <c r="F10" s="164"/>
      <c r="G10" s="164"/>
      <c r="H10" s="9"/>
      <c r="J10"/>
      <c r="K10"/>
      <c r="L10"/>
      <c r="M10"/>
      <c r="N10" s="9"/>
      <c r="O10"/>
      <c r="P10"/>
      <c r="Q10"/>
      <c r="R10"/>
      <c r="S10"/>
      <c r="T10"/>
      <c r="U10"/>
      <c r="V10"/>
      <c r="Y10"/>
      <c r="Z10"/>
      <c r="AA10"/>
      <c r="AB10"/>
      <c r="AC10" s="9"/>
      <c r="AF10"/>
      <c r="AG10"/>
      <c r="AH10"/>
      <c r="AI10"/>
      <c r="AJ10"/>
      <c r="AK10"/>
      <c r="AN10"/>
      <c r="AO10"/>
      <c r="AP10"/>
      <c r="AQ10"/>
      <c r="AR10"/>
      <c r="AS10"/>
      <c r="AV10"/>
      <c r="AW10"/>
      <c r="AX10"/>
      <c r="AY10"/>
      <c r="AZ10"/>
      <c r="BA10"/>
      <c r="BL10"/>
      <c r="BM10"/>
      <c r="BN10"/>
      <c r="BO10"/>
      <c r="BP10"/>
      <c r="BQ10"/>
    </row>
    <row r="11" spans="1:70" x14ac:dyDescent="0.25">
      <c r="C11" s="164"/>
      <c r="D11" s="164"/>
      <c r="E11" s="164"/>
      <c r="F11" s="164"/>
      <c r="G11" s="164"/>
      <c r="H11" s="9"/>
      <c r="J11"/>
      <c r="K11"/>
      <c r="L11"/>
      <c r="M11"/>
      <c r="N11" s="9"/>
      <c r="O11"/>
      <c r="P11"/>
      <c r="Q11"/>
      <c r="R11"/>
      <c r="S11"/>
      <c r="T11"/>
      <c r="U11"/>
      <c r="V11"/>
      <c r="Y11"/>
      <c r="Z11"/>
      <c r="AB11"/>
      <c r="AC11" s="9"/>
      <c r="AF11"/>
      <c r="AG11"/>
      <c r="AH11"/>
      <c r="AI11"/>
      <c r="AJ11"/>
      <c r="AK11"/>
      <c r="AN11"/>
      <c r="AO11"/>
      <c r="AP11"/>
      <c r="AQ11"/>
      <c r="AR11"/>
      <c r="AS11"/>
      <c r="AV11"/>
      <c r="AW11"/>
      <c r="AX11"/>
      <c r="AY11"/>
      <c r="AZ11"/>
      <c r="BA11"/>
      <c r="BL11"/>
      <c r="BM11"/>
      <c r="BN11"/>
      <c r="BO11"/>
      <c r="BP11"/>
      <c r="BQ11"/>
    </row>
    <row r="12" spans="1:70" x14ac:dyDescent="0.25">
      <c r="D12"/>
      <c r="E12"/>
      <c r="F12"/>
      <c r="G12"/>
      <c r="H12" s="9"/>
      <c r="J12"/>
      <c r="K12"/>
      <c r="L12"/>
      <c r="M12"/>
      <c r="N12" s="9"/>
      <c r="O12"/>
      <c r="P12"/>
      <c r="Q12"/>
      <c r="R12"/>
      <c r="S12"/>
      <c r="T12"/>
      <c r="U12"/>
      <c r="V12"/>
      <c r="Y12"/>
      <c r="Z12"/>
      <c r="AA12"/>
      <c r="AB12"/>
      <c r="AC12" s="9"/>
      <c r="AF12"/>
      <c r="AG12"/>
      <c r="AH12"/>
      <c r="AI12"/>
      <c r="AJ12"/>
      <c r="AK12"/>
      <c r="AN12"/>
      <c r="AO12"/>
      <c r="AP12"/>
      <c r="AQ12"/>
      <c r="AR12"/>
      <c r="AS12"/>
      <c r="AV12"/>
      <c r="AW12"/>
      <c r="AX12"/>
      <c r="AY12"/>
      <c r="AZ12"/>
      <c r="BA12"/>
      <c r="BL12"/>
      <c r="BM12"/>
      <c r="BN12"/>
      <c r="BO12"/>
      <c r="BP12"/>
      <c r="BQ12"/>
    </row>
    <row r="13" spans="1:70" x14ac:dyDescent="0.25">
      <c r="D13" s="47"/>
      <c r="E13"/>
      <c r="F13"/>
      <c r="G13"/>
      <c r="J13"/>
      <c r="K13"/>
      <c r="L13"/>
      <c r="M13"/>
      <c r="O13"/>
      <c r="P13"/>
      <c r="Q13"/>
      <c r="R13"/>
      <c r="S13"/>
      <c r="T13"/>
      <c r="U13"/>
      <c r="V13"/>
      <c r="Y13"/>
      <c r="Z13"/>
      <c r="AA13"/>
      <c r="AB13"/>
      <c r="AF13"/>
      <c r="AG13"/>
      <c r="AH13"/>
      <c r="AI13"/>
      <c r="AJ13"/>
      <c r="AK13"/>
      <c r="AN13"/>
      <c r="AO13"/>
      <c r="AP13"/>
      <c r="AQ13"/>
      <c r="AR13"/>
      <c r="AS13"/>
      <c r="AV13"/>
      <c r="AW13"/>
      <c r="AX13"/>
      <c r="AY13"/>
      <c r="AZ13"/>
      <c r="BA13"/>
      <c r="BL13"/>
      <c r="BM13"/>
      <c r="BN13"/>
      <c r="BO13"/>
      <c r="BP13"/>
      <c r="BQ13"/>
    </row>
    <row r="14" spans="1:70" x14ac:dyDescent="0.25">
      <c r="D14" s="47"/>
      <c r="E14"/>
      <c r="F14"/>
      <c r="G14"/>
      <c r="J14"/>
      <c r="K14"/>
      <c r="L14"/>
      <c r="M14"/>
      <c r="O14"/>
      <c r="P14"/>
      <c r="Q14"/>
      <c r="R14"/>
      <c r="S14"/>
      <c r="T14"/>
      <c r="U14"/>
      <c r="V14"/>
      <c r="Y14"/>
      <c r="Z14"/>
      <c r="AA14"/>
      <c r="AB14"/>
      <c r="AF14"/>
      <c r="AG14"/>
      <c r="AH14"/>
      <c r="AI14"/>
      <c r="AJ14"/>
      <c r="AK14"/>
      <c r="AN14"/>
      <c r="AO14"/>
      <c r="AP14"/>
      <c r="AQ14"/>
      <c r="AR14"/>
      <c r="AS14"/>
      <c r="AV14"/>
      <c r="AW14"/>
      <c r="AX14"/>
      <c r="AY14"/>
      <c r="AZ14"/>
      <c r="BA14"/>
      <c r="BL14"/>
      <c r="BM14"/>
      <c r="BN14"/>
      <c r="BO14"/>
      <c r="BP14"/>
      <c r="BQ14"/>
    </row>
    <row r="15" spans="1:70" ht="15" customHeight="1" x14ac:dyDescent="0.25">
      <c r="D15"/>
      <c r="E15"/>
      <c r="F15"/>
      <c r="G15"/>
      <c r="J15"/>
      <c r="K15"/>
      <c r="L15"/>
      <c r="M15"/>
      <c r="O15"/>
      <c r="P15"/>
      <c r="Q15"/>
      <c r="R15"/>
      <c r="S15"/>
      <c r="T15"/>
      <c r="U15"/>
      <c r="V15"/>
      <c r="Y15"/>
      <c r="Z15"/>
      <c r="AA15"/>
      <c r="AB15"/>
      <c r="AF15"/>
      <c r="AG15"/>
      <c r="AH15"/>
      <c r="AI15"/>
      <c r="AJ15"/>
      <c r="AK15"/>
      <c r="AN15"/>
      <c r="AO15"/>
      <c r="AP15"/>
      <c r="AQ15"/>
      <c r="AR15"/>
      <c r="AS15"/>
      <c r="AV15"/>
      <c r="AW15"/>
      <c r="AX15"/>
      <c r="AY15"/>
      <c r="AZ15"/>
      <c r="BA15"/>
      <c r="BL15"/>
      <c r="BM15"/>
      <c r="BN15"/>
      <c r="BO15"/>
      <c r="BP15"/>
      <c r="BQ15"/>
    </row>
    <row r="16" spans="1:70" x14ac:dyDescent="0.25">
      <c r="D16"/>
      <c r="E16"/>
      <c r="F16"/>
      <c r="G16"/>
      <c r="J16"/>
      <c r="K16"/>
      <c r="L16"/>
      <c r="M16"/>
      <c r="O16"/>
      <c r="P16"/>
      <c r="Q16"/>
      <c r="R16"/>
      <c r="S16"/>
      <c r="T16"/>
      <c r="U16"/>
      <c r="V16"/>
      <c r="Y16"/>
      <c r="Z16"/>
      <c r="AA16"/>
      <c r="AB16"/>
      <c r="AF16"/>
      <c r="AG16"/>
      <c r="AH16"/>
      <c r="AI16"/>
      <c r="AJ16"/>
      <c r="AK16"/>
      <c r="AN16"/>
      <c r="AO16"/>
      <c r="AP16"/>
      <c r="AQ16"/>
      <c r="AR16"/>
      <c r="AS16"/>
      <c r="AV16"/>
      <c r="AW16"/>
      <c r="AX16"/>
      <c r="AY16"/>
      <c r="AZ16"/>
      <c r="BA16"/>
      <c r="BL16"/>
      <c r="BM16"/>
      <c r="BN16"/>
      <c r="BO16"/>
      <c r="BP16"/>
      <c r="BQ16"/>
    </row>
    <row r="17" spans="4:69" x14ac:dyDescent="0.25">
      <c r="D17"/>
      <c r="E17"/>
      <c r="F17"/>
      <c r="G17"/>
      <c r="J17"/>
      <c r="K17"/>
      <c r="L17"/>
      <c r="M17"/>
      <c r="O17"/>
      <c r="P17"/>
      <c r="Q17"/>
      <c r="R17"/>
      <c r="S17"/>
      <c r="T17"/>
      <c r="U17"/>
      <c r="V17"/>
      <c r="Y17"/>
      <c r="Z17"/>
      <c r="AA17"/>
      <c r="AB17"/>
      <c r="AF17"/>
      <c r="AG17"/>
      <c r="AH17"/>
      <c r="AI17"/>
      <c r="AJ17"/>
      <c r="AK17"/>
      <c r="AN17"/>
      <c r="AO17"/>
      <c r="AP17"/>
      <c r="AQ17"/>
      <c r="AR17"/>
      <c r="AS17"/>
      <c r="AV17"/>
      <c r="AW17"/>
      <c r="AX17"/>
      <c r="AY17"/>
      <c r="AZ17"/>
      <c r="BA17"/>
      <c r="BL17"/>
      <c r="BM17"/>
      <c r="BN17"/>
      <c r="BO17"/>
      <c r="BP17"/>
      <c r="BQ17"/>
    </row>
    <row r="18" spans="4:69" x14ac:dyDescent="0.25">
      <c r="D18"/>
      <c r="E18"/>
      <c r="F18"/>
      <c r="G18"/>
      <c r="J18"/>
      <c r="K18"/>
      <c r="L18"/>
      <c r="M18"/>
      <c r="O18"/>
      <c r="P18"/>
      <c r="Q18"/>
      <c r="R18"/>
      <c r="S18"/>
      <c r="T18"/>
      <c r="U18"/>
      <c r="V18"/>
      <c r="Y18"/>
      <c r="Z18"/>
      <c r="AA18"/>
      <c r="AB18"/>
      <c r="AF18"/>
      <c r="AG18"/>
      <c r="AH18"/>
      <c r="AI18"/>
      <c r="AJ18"/>
      <c r="AK18"/>
      <c r="AN18"/>
      <c r="AO18"/>
      <c r="AP18"/>
      <c r="AQ18"/>
      <c r="AR18"/>
      <c r="AS18"/>
      <c r="AV18"/>
      <c r="AW18"/>
      <c r="AX18"/>
      <c r="AY18"/>
      <c r="AZ18"/>
      <c r="BA18"/>
      <c r="BL18"/>
      <c r="BM18"/>
      <c r="BN18"/>
      <c r="BO18"/>
      <c r="BP18"/>
      <c r="BQ18"/>
    </row>
    <row r="19" spans="4:69" x14ac:dyDescent="0.25">
      <c r="D19"/>
      <c r="E19"/>
      <c r="F19"/>
      <c r="G19"/>
      <c r="J19"/>
      <c r="K19"/>
      <c r="L19"/>
      <c r="M19"/>
      <c r="O19"/>
      <c r="P19"/>
      <c r="Q19"/>
      <c r="R19"/>
      <c r="S19"/>
      <c r="T19"/>
      <c r="U19"/>
      <c r="V19"/>
      <c r="Y19"/>
      <c r="Z19"/>
      <c r="AA19"/>
      <c r="AB19"/>
      <c r="AF19"/>
      <c r="AG19"/>
      <c r="AH19"/>
      <c r="AI19"/>
      <c r="AN19"/>
      <c r="AO19"/>
      <c r="AP19"/>
      <c r="AQ19"/>
      <c r="AR19"/>
      <c r="AS19"/>
      <c r="AV19"/>
      <c r="AW19"/>
      <c r="AX19"/>
      <c r="AY19"/>
      <c r="AZ19"/>
      <c r="BA19"/>
      <c r="BL19"/>
      <c r="BM19"/>
      <c r="BN19"/>
      <c r="BO19"/>
      <c r="BP19"/>
      <c r="BQ19"/>
    </row>
    <row r="20" spans="4:69" x14ac:dyDescent="0.25">
      <c r="D20"/>
      <c r="E20"/>
      <c r="F20"/>
      <c r="G20"/>
      <c r="J20"/>
      <c r="K20"/>
      <c r="L20"/>
      <c r="M20"/>
      <c r="N20" s="9"/>
      <c r="O20"/>
      <c r="P20"/>
      <c r="Q20"/>
      <c r="R20"/>
      <c r="S20"/>
      <c r="T20"/>
      <c r="U20"/>
      <c r="V20"/>
      <c r="Y20"/>
      <c r="Z20"/>
      <c r="AA20"/>
      <c r="AB20"/>
      <c r="AC20" s="9"/>
      <c r="AF20"/>
      <c r="AG20"/>
      <c r="AH20"/>
      <c r="AI20"/>
      <c r="AJ20"/>
      <c r="AK20"/>
      <c r="AN20"/>
      <c r="AO20"/>
      <c r="AP20"/>
      <c r="AQ20"/>
      <c r="AR20"/>
      <c r="AS20"/>
      <c r="AV20"/>
      <c r="AW20"/>
      <c r="AX20"/>
      <c r="AY20"/>
      <c r="AZ20"/>
      <c r="BA20"/>
      <c r="BL20"/>
      <c r="BM20"/>
      <c r="BN20"/>
      <c r="BO20"/>
      <c r="BP20"/>
      <c r="BQ20"/>
    </row>
    <row r="21" spans="4:69" x14ac:dyDescent="0.25">
      <c r="D21"/>
      <c r="E21"/>
      <c r="F21"/>
      <c r="G21"/>
      <c r="J21"/>
      <c r="K21"/>
      <c r="L21"/>
      <c r="M21"/>
      <c r="N21" s="9"/>
      <c r="O21"/>
      <c r="P21"/>
      <c r="Q21"/>
      <c r="R21"/>
      <c r="S21"/>
      <c r="T21"/>
      <c r="U21"/>
      <c r="V21"/>
      <c r="Y21"/>
      <c r="Z21"/>
      <c r="AA21"/>
      <c r="AB21"/>
      <c r="AC21" s="9"/>
      <c r="AF21"/>
      <c r="AG21"/>
      <c r="AH21"/>
      <c r="AI21"/>
      <c r="AJ21"/>
      <c r="AK21"/>
      <c r="AN21"/>
      <c r="AO21"/>
      <c r="AP21"/>
      <c r="AQ21"/>
      <c r="AR21"/>
      <c r="AS21"/>
      <c r="AV21"/>
      <c r="AW21"/>
      <c r="AX21"/>
      <c r="AY21"/>
      <c r="AZ21"/>
      <c r="BA21"/>
      <c r="BL21"/>
      <c r="BM21"/>
      <c r="BN21"/>
      <c r="BO21"/>
      <c r="BP21"/>
      <c r="BQ21"/>
    </row>
    <row r="22" spans="4:69" x14ac:dyDescent="0.25">
      <c r="D22"/>
      <c r="E22"/>
      <c r="F22"/>
      <c r="G22"/>
      <c r="J22"/>
      <c r="K22"/>
      <c r="L22"/>
      <c r="M22"/>
      <c r="N22" s="9"/>
      <c r="O22"/>
      <c r="P22"/>
      <c r="Q22"/>
      <c r="R22"/>
      <c r="S22"/>
      <c r="T22"/>
      <c r="U22"/>
      <c r="V22"/>
      <c r="Y22"/>
      <c r="Z22"/>
      <c r="AA22"/>
      <c r="AB22"/>
      <c r="AC22" s="9"/>
      <c r="AF22"/>
      <c r="AG22"/>
      <c r="AH22"/>
      <c r="AI22"/>
      <c r="AJ22"/>
      <c r="AK22"/>
      <c r="AN22"/>
      <c r="AO22"/>
      <c r="AP22"/>
      <c r="AQ22"/>
      <c r="AR22"/>
      <c r="AS22"/>
      <c r="AV22"/>
      <c r="AW22"/>
      <c r="AX22"/>
      <c r="AY22"/>
      <c r="AZ22"/>
      <c r="BA22"/>
      <c r="BL22"/>
      <c r="BM22"/>
      <c r="BN22"/>
      <c r="BO22"/>
      <c r="BP22"/>
      <c r="BQ22"/>
    </row>
    <row r="23" spans="4:69" x14ac:dyDescent="0.25">
      <c r="D23"/>
      <c r="E23"/>
      <c r="F23"/>
      <c r="G23"/>
      <c r="J23"/>
      <c r="K23"/>
      <c r="L23"/>
      <c r="M23"/>
      <c r="N23" s="9"/>
      <c r="O23"/>
      <c r="P23"/>
      <c r="Q23"/>
      <c r="R23"/>
      <c r="S23"/>
      <c r="T23"/>
      <c r="U23"/>
      <c r="V23"/>
      <c r="Y23"/>
      <c r="Z23"/>
      <c r="AA23"/>
      <c r="AB23"/>
      <c r="AC23" s="9"/>
      <c r="AF23"/>
      <c r="AG23"/>
      <c r="AH23"/>
      <c r="AI23"/>
      <c r="AJ23"/>
      <c r="AK23"/>
      <c r="AN23"/>
      <c r="AO23"/>
      <c r="AP23"/>
      <c r="AQ23"/>
      <c r="AR23"/>
      <c r="AS23"/>
      <c r="AV23"/>
      <c r="AW23"/>
      <c r="AX23"/>
      <c r="AY23"/>
      <c r="AZ23"/>
      <c r="BA23"/>
      <c r="BL23"/>
      <c r="BM23"/>
      <c r="BN23"/>
      <c r="BO23"/>
      <c r="BP23"/>
      <c r="BQ23"/>
    </row>
    <row r="24" spans="4:69" x14ac:dyDescent="0.25">
      <c r="D24"/>
      <c r="E24"/>
      <c r="F24"/>
      <c r="G24"/>
      <c r="J24"/>
      <c r="K24"/>
      <c r="L24"/>
      <c r="M24"/>
      <c r="N24" s="9"/>
      <c r="O24"/>
      <c r="P24"/>
      <c r="Q24"/>
      <c r="R24"/>
      <c r="S24"/>
      <c r="T24"/>
      <c r="U24"/>
      <c r="V24"/>
      <c r="Y24"/>
      <c r="Z24"/>
      <c r="AA24"/>
      <c r="AB24"/>
      <c r="AC24" s="9"/>
      <c r="AF24"/>
      <c r="AG24"/>
      <c r="AH24"/>
      <c r="AI24"/>
      <c r="AJ24"/>
      <c r="AK24"/>
      <c r="AN24"/>
      <c r="AO24"/>
      <c r="AP24"/>
      <c r="AQ24"/>
      <c r="AR24"/>
      <c r="AS24"/>
      <c r="AV24"/>
      <c r="AW24"/>
      <c r="AX24"/>
      <c r="AY24"/>
      <c r="AZ24"/>
      <c r="BA24"/>
      <c r="BL24"/>
      <c r="BM24"/>
      <c r="BN24"/>
      <c r="BO24"/>
      <c r="BP24"/>
      <c r="BQ24"/>
    </row>
    <row r="25" spans="4:69" x14ac:dyDescent="0.25">
      <c r="D25"/>
      <c r="E25"/>
      <c r="F25"/>
      <c r="G25"/>
      <c r="J25"/>
      <c r="K25"/>
      <c r="L25"/>
      <c r="M25"/>
      <c r="N25" s="9"/>
      <c r="O25"/>
      <c r="P25"/>
      <c r="Q25"/>
      <c r="R25"/>
      <c r="S25"/>
      <c r="T25"/>
      <c r="U25"/>
      <c r="V25"/>
      <c r="Y25"/>
      <c r="Z25"/>
      <c r="AA25"/>
      <c r="AB25"/>
      <c r="AC25" s="9"/>
      <c r="AF25"/>
      <c r="AG25"/>
      <c r="AH25"/>
      <c r="AI25"/>
      <c r="AJ25"/>
      <c r="AK25"/>
      <c r="AN25"/>
      <c r="AO25"/>
      <c r="AP25"/>
      <c r="AQ25"/>
      <c r="AR25"/>
      <c r="AS25"/>
      <c r="AV25"/>
      <c r="AW25"/>
      <c r="AX25"/>
      <c r="AY25"/>
      <c r="AZ25"/>
      <c r="BA25"/>
      <c r="BL25"/>
      <c r="BM25"/>
      <c r="BN25"/>
      <c r="BO25"/>
      <c r="BP25"/>
      <c r="BQ25"/>
    </row>
    <row r="26" spans="4:69" x14ac:dyDescent="0.25">
      <c r="D26"/>
      <c r="E26"/>
      <c r="F26"/>
      <c r="G26"/>
      <c r="J26"/>
      <c r="K26"/>
      <c r="L26"/>
      <c r="M26"/>
      <c r="N26" s="9"/>
      <c r="O26"/>
      <c r="P26"/>
      <c r="Q26"/>
      <c r="R26"/>
      <c r="S26"/>
      <c r="T26"/>
      <c r="U26"/>
      <c r="V26"/>
      <c r="Y26"/>
      <c r="Z26"/>
      <c r="AA26"/>
      <c r="AB26"/>
      <c r="AC26" s="9"/>
      <c r="AF26"/>
      <c r="AG26"/>
      <c r="AH26"/>
      <c r="AI26"/>
      <c r="AJ26"/>
      <c r="AK26"/>
      <c r="AN26"/>
      <c r="AO26"/>
      <c r="AP26"/>
      <c r="AQ26"/>
      <c r="AR26"/>
      <c r="AS26"/>
      <c r="AV26"/>
      <c r="AW26"/>
      <c r="AX26"/>
      <c r="AY26"/>
      <c r="AZ26"/>
      <c r="BA26"/>
      <c r="BL26"/>
      <c r="BM26"/>
      <c r="BN26"/>
      <c r="BO26"/>
      <c r="BP26"/>
      <c r="BQ26"/>
    </row>
    <row r="27" spans="4:69" x14ac:dyDescent="0.25">
      <c r="D27"/>
      <c r="E27"/>
      <c r="F27"/>
      <c r="G27"/>
      <c r="J27"/>
      <c r="K27"/>
      <c r="L27"/>
      <c r="M27"/>
      <c r="N27" s="9"/>
      <c r="O27"/>
      <c r="P27"/>
      <c r="Q27"/>
      <c r="R27"/>
      <c r="S27"/>
      <c r="T27"/>
      <c r="U27"/>
      <c r="V27"/>
      <c r="Y27"/>
      <c r="Z27"/>
      <c r="AA27"/>
      <c r="AB27"/>
      <c r="AC27" s="9"/>
      <c r="AF27"/>
      <c r="AG27"/>
      <c r="AH27"/>
      <c r="AI27"/>
      <c r="AJ27"/>
      <c r="AK27"/>
      <c r="AN27"/>
      <c r="AO27"/>
      <c r="AP27"/>
      <c r="AQ27"/>
      <c r="AR27"/>
      <c r="AS27"/>
      <c r="AV27"/>
      <c r="AW27"/>
      <c r="AX27"/>
      <c r="AY27"/>
      <c r="AZ27"/>
      <c r="BA27"/>
      <c r="BL27"/>
      <c r="BM27"/>
      <c r="BN27"/>
      <c r="BO27"/>
      <c r="BP27"/>
      <c r="BQ27"/>
    </row>
    <row r="28" spans="4:69" x14ac:dyDescent="0.25">
      <c r="D28"/>
      <c r="E28"/>
      <c r="F28"/>
      <c r="G28"/>
      <c r="J28"/>
      <c r="K28"/>
      <c r="L28"/>
      <c r="M28"/>
      <c r="O28"/>
      <c r="P28"/>
      <c r="Q28"/>
      <c r="R28"/>
      <c r="S28"/>
      <c r="T28"/>
      <c r="U28"/>
      <c r="V28"/>
      <c r="Y28"/>
      <c r="Z28"/>
      <c r="AA28"/>
      <c r="AB28"/>
      <c r="AF28"/>
      <c r="AG28"/>
      <c r="AH28"/>
      <c r="AI28"/>
      <c r="AJ28"/>
      <c r="AK28"/>
      <c r="AN28"/>
      <c r="AO28"/>
      <c r="AP28"/>
      <c r="AQ28"/>
      <c r="AR28"/>
      <c r="AS28"/>
      <c r="AV28"/>
      <c r="AW28"/>
      <c r="AX28"/>
      <c r="AY28"/>
      <c r="AZ28"/>
      <c r="BA28"/>
      <c r="BL28"/>
      <c r="BM28"/>
      <c r="BN28"/>
      <c r="BO28"/>
      <c r="BP28"/>
      <c r="BQ28"/>
    </row>
    <row r="29" spans="4:69" x14ac:dyDescent="0.25">
      <c r="D29"/>
      <c r="E29"/>
      <c r="F29"/>
      <c r="G29"/>
      <c r="J29"/>
      <c r="K29"/>
      <c r="L29"/>
      <c r="M29"/>
      <c r="O29"/>
      <c r="P29"/>
      <c r="Q29"/>
      <c r="R29"/>
      <c r="S29"/>
      <c r="T29"/>
      <c r="U29"/>
      <c r="V29"/>
      <c r="Y29"/>
      <c r="Z29"/>
      <c r="AA29"/>
      <c r="AB29"/>
      <c r="AF29"/>
      <c r="AG29"/>
      <c r="AH29"/>
      <c r="AI29"/>
      <c r="AJ29"/>
      <c r="AK29"/>
      <c r="AN29"/>
      <c r="AO29"/>
      <c r="AP29"/>
      <c r="AQ29"/>
      <c r="AR29"/>
      <c r="AS29"/>
      <c r="AV29"/>
      <c r="AW29"/>
      <c r="AX29"/>
      <c r="AY29"/>
      <c r="AZ29"/>
      <c r="BA29"/>
      <c r="BL29"/>
      <c r="BM29"/>
      <c r="BN29"/>
      <c r="BO29"/>
      <c r="BP29"/>
      <c r="BQ29"/>
    </row>
    <row r="30" spans="4:69" x14ac:dyDescent="0.25">
      <c r="D30"/>
      <c r="E30"/>
      <c r="F30"/>
      <c r="G30"/>
      <c r="J30"/>
      <c r="K30"/>
      <c r="L30"/>
      <c r="M30"/>
      <c r="O30"/>
      <c r="P30"/>
      <c r="Q30"/>
      <c r="R30"/>
      <c r="S30"/>
      <c r="T30"/>
      <c r="U30"/>
      <c r="V30"/>
      <c r="Y30"/>
      <c r="Z30"/>
      <c r="AA30"/>
      <c r="AB30"/>
      <c r="AF30"/>
      <c r="AG30"/>
      <c r="AH30"/>
      <c r="AI30"/>
      <c r="AJ30"/>
      <c r="AK30"/>
      <c r="AN30"/>
      <c r="AO30"/>
      <c r="AP30"/>
      <c r="AQ30"/>
      <c r="AR30"/>
      <c r="AS30"/>
      <c r="AV30"/>
      <c r="AW30"/>
      <c r="AX30"/>
      <c r="AY30"/>
      <c r="AZ30"/>
      <c r="BA30"/>
      <c r="BL30"/>
      <c r="BM30"/>
      <c r="BN30"/>
      <c r="BO30"/>
      <c r="BP30"/>
      <c r="BQ30"/>
    </row>
    <row r="31" spans="4:69" x14ac:dyDescent="0.25">
      <c r="D31"/>
      <c r="E31"/>
      <c r="F31"/>
      <c r="G31"/>
      <c r="J31"/>
      <c r="K31"/>
      <c r="L31"/>
      <c r="M31"/>
      <c r="O31"/>
      <c r="P31"/>
      <c r="Q31"/>
      <c r="R31"/>
      <c r="S31"/>
      <c r="T31"/>
      <c r="U31"/>
      <c r="V31"/>
      <c r="Y31"/>
      <c r="Z31"/>
      <c r="AA31"/>
      <c r="AB31"/>
      <c r="AF31"/>
      <c r="AG31"/>
      <c r="AH31"/>
      <c r="AI31"/>
      <c r="AJ31"/>
      <c r="AK31"/>
      <c r="AN31"/>
      <c r="AO31"/>
      <c r="AP31"/>
      <c r="AQ31"/>
      <c r="AR31"/>
      <c r="AS31"/>
      <c r="AV31"/>
      <c r="AW31"/>
      <c r="AX31"/>
      <c r="AY31"/>
      <c r="AZ31"/>
      <c r="BA31"/>
      <c r="BL31"/>
      <c r="BM31"/>
      <c r="BN31"/>
      <c r="BO31"/>
      <c r="BP31"/>
      <c r="BQ31"/>
    </row>
    <row r="32" spans="4:69" x14ac:dyDescent="0.25">
      <c r="D32"/>
      <c r="E32"/>
      <c r="F32"/>
      <c r="G32"/>
      <c r="J32"/>
      <c r="K32"/>
      <c r="L32"/>
      <c r="M32"/>
      <c r="O32"/>
      <c r="P32"/>
      <c r="Q32"/>
      <c r="R32"/>
      <c r="S32"/>
      <c r="T32"/>
      <c r="U32"/>
      <c r="V32"/>
      <c r="Y32"/>
      <c r="Z32"/>
      <c r="AA32"/>
      <c r="AB32"/>
      <c r="AF32"/>
      <c r="AG32"/>
      <c r="AH32"/>
      <c r="AI32"/>
      <c r="AJ32"/>
      <c r="AK32"/>
      <c r="AN32"/>
      <c r="AO32"/>
      <c r="AP32"/>
      <c r="AQ32"/>
      <c r="AR32"/>
      <c r="AS32"/>
      <c r="AV32"/>
      <c r="AW32"/>
      <c r="AX32"/>
      <c r="AY32"/>
      <c r="AZ32"/>
      <c r="BA32"/>
      <c r="BL32"/>
      <c r="BM32"/>
      <c r="BN32"/>
      <c r="BO32"/>
      <c r="BP32"/>
      <c r="BQ32"/>
    </row>
    <row r="33" spans="4:69" x14ac:dyDescent="0.25">
      <c r="D33"/>
      <c r="E33"/>
      <c r="F33"/>
      <c r="G33"/>
      <c r="J33"/>
      <c r="K33"/>
      <c r="L33"/>
      <c r="M33"/>
      <c r="O33"/>
      <c r="P33"/>
      <c r="Q33"/>
      <c r="R33"/>
      <c r="S33"/>
      <c r="T33"/>
      <c r="U33"/>
      <c r="V33"/>
      <c r="Y33"/>
      <c r="Z33"/>
      <c r="AA33"/>
      <c r="AB33"/>
      <c r="AF33"/>
      <c r="AG33"/>
      <c r="AH33"/>
      <c r="AI33"/>
      <c r="AJ33"/>
      <c r="AK33"/>
      <c r="AN33"/>
      <c r="AO33"/>
      <c r="AP33"/>
      <c r="AQ33"/>
      <c r="AR33"/>
      <c r="AS33"/>
      <c r="AV33"/>
      <c r="AW33"/>
      <c r="AX33"/>
      <c r="AY33"/>
      <c r="AZ33"/>
      <c r="BA33"/>
      <c r="BL33"/>
      <c r="BM33"/>
      <c r="BN33"/>
      <c r="BO33"/>
      <c r="BP33"/>
      <c r="BQ33"/>
    </row>
    <row r="34" spans="4:69" x14ac:dyDescent="0.25">
      <c r="D34"/>
      <c r="E34"/>
      <c r="F34"/>
      <c r="G34"/>
      <c r="J34"/>
      <c r="K34"/>
      <c r="L34"/>
      <c r="M34"/>
      <c r="O34"/>
      <c r="P34"/>
      <c r="Q34"/>
      <c r="R34"/>
      <c r="S34"/>
      <c r="T34"/>
      <c r="U34"/>
      <c r="V34"/>
      <c r="Y34"/>
      <c r="Z34"/>
      <c r="AA34"/>
      <c r="AB34"/>
      <c r="AF34"/>
      <c r="AG34"/>
      <c r="AH34"/>
      <c r="AI34"/>
      <c r="AJ34"/>
      <c r="AK34"/>
      <c r="AN34"/>
      <c r="AO34"/>
      <c r="AP34"/>
      <c r="AQ34"/>
      <c r="AR34"/>
      <c r="AS34"/>
      <c r="AV34"/>
      <c r="AW34"/>
      <c r="AX34"/>
      <c r="AY34"/>
      <c r="AZ34"/>
      <c r="BA34"/>
      <c r="BL34"/>
      <c r="BM34"/>
      <c r="BN34"/>
      <c r="BO34"/>
      <c r="BP34"/>
      <c r="BQ34"/>
    </row>
    <row r="35" spans="4:69" x14ac:dyDescent="0.25">
      <c r="D35"/>
      <c r="E35"/>
      <c r="F35"/>
      <c r="G35"/>
      <c r="J35"/>
      <c r="K35"/>
      <c r="L35"/>
      <c r="M35"/>
      <c r="O35"/>
      <c r="P35"/>
      <c r="Q35"/>
      <c r="R35"/>
      <c r="S35"/>
      <c r="T35"/>
      <c r="U35"/>
      <c r="V35"/>
      <c r="Y35"/>
      <c r="Z35"/>
      <c r="AA35"/>
      <c r="AB35"/>
      <c r="AF35"/>
      <c r="AG35"/>
      <c r="AH35"/>
      <c r="AI35"/>
      <c r="AJ35"/>
      <c r="AK35"/>
      <c r="AN35"/>
      <c r="AO35"/>
      <c r="AP35"/>
      <c r="AQ35"/>
      <c r="AR35"/>
      <c r="AS35"/>
      <c r="AV35"/>
      <c r="AW35"/>
      <c r="AX35"/>
      <c r="AY35"/>
      <c r="AZ35"/>
      <c r="BA35"/>
      <c r="BL35"/>
      <c r="BM35"/>
      <c r="BN35"/>
      <c r="BO35"/>
      <c r="BP35"/>
      <c r="BQ35"/>
    </row>
    <row r="36" spans="4:69" x14ac:dyDescent="0.25">
      <c r="D36"/>
      <c r="E36"/>
      <c r="F36"/>
      <c r="G36"/>
      <c r="J36"/>
      <c r="K36"/>
      <c r="L36"/>
      <c r="M36"/>
      <c r="O36"/>
      <c r="P36"/>
      <c r="Q36"/>
      <c r="R36"/>
      <c r="S36"/>
      <c r="T36"/>
      <c r="U36"/>
      <c r="V36"/>
      <c r="Y36"/>
      <c r="Z36"/>
      <c r="AA36"/>
      <c r="AB36"/>
      <c r="AF36"/>
      <c r="AG36"/>
      <c r="AH36"/>
      <c r="AI36"/>
      <c r="AJ36"/>
      <c r="AK36"/>
      <c r="AN36"/>
      <c r="AO36"/>
      <c r="AP36"/>
      <c r="AQ36"/>
      <c r="AR36"/>
      <c r="AS36"/>
      <c r="AV36"/>
      <c r="AW36"/>
      <c r="AX36"/>
      <c r="AY36"/>
      <c r="AZ36"/>
      <c r="BA36"/>
      <c r="BL36"/>
      <c r="BM36"/>
      <c r="BN36"/>
      <c r="BO36"/>
      <c r="BP36"/>
      <c r="BQ36"/>
    </row>
    <row r="37" spans="4:69" x14ac:dyDescent="0.25">
      <c r="D37"/>
      <c r="E37"/>
      <c r="F37"/>
      <c r="G37"/>
      <c r="J37"/>
      <c r="K37"/>
      <c r="L37"/>
      <c r="M37"/>
      <c r="O37"/>
      <c r="P37"/>
      <c r="Q37"/>
      <c r="R37"/>
      <c r="S37"/>
      <c r="T37"/>
      <c r="U37"/>
      <c r="V37"/>
      <c r="Y37"/>
      <c r="Z37"/>
      <c r="AA37"/>
      <c r="AB37"/>
      <c r="AF37"/>
      <c r="AG37"/>
      <c r="AH37"/>
      <c r="AI37"/>
      <c r="AJ37"/>
      <c r="AK37"/>
      <c r="AN37"/>
      <c r="AO37"/>
      <c r="AP37"/>
      <c r="AQ37"/>
      <c r="AR37"/>
      <c r="AS37"/>
      <c r="AV37"/>
      <c r="AW37"/>
      <c r="AX37"/>
      <c r="AY37"/>
      <c r="AZ37"/>
      <c r="BA37"/>
      <c r="BL37"/>
      <c r="BM37"/>
      <c r="BN37"/>
      <c r="BO37"/>
      <c r="BP37"/>
      <c r="BQ37"/>
    </row>
    <row r="38" spans="4:69" x14ac:dyDescent="0.25">
      <c r="D38"/>
      <c r="E38"/>
      <c r="F38"/>
      <c r="G38"/>
      <c r="J38"/>
      <c r="K38"/>
      <c r="L38"/>
      <c r="M38"/>
      <c r="O38"/>
      <c r="P38"/>
      <c r="Q38"/>
      <c r="R38"/>
      <c r="S38"/>
      <c r="T38"/>
      <c r="U38"/>
      <c r="V38"/>
      <c r="Y38"/>
      <c r="Z38"/>
      <c r="AA38"/>
      <c r="AB38"/>
      <c r="AF38"/>
      <c r="AG38"/>
      <c r="AH38"/>
      <c r="AI38"/>
      <c r="AJ38"/>
      <c r="AK38"/>
      <c r="AN38"/>
      <c r="AO38"/>
      <c r="AP38"/>
      <c r="AQ38"/>
      <c r="AR38"/>
      <c r="AS38"/>
      <c r="AV38"/>
      <c r="AW38"/>
      <c r="AX38"/>
      <c r="AY38"/>
      <c r="AZ38"/>
      <c r="BA38"/>
      <c r="BL38"/>
      <c r="BM38"/>
      <c r="BN38"/>
      <c r="BO38"/>
      <c r="BP38"/>
      <c r="BQ38"/>
    </row>
    <row r="39" spans="4:69" x14ac:dyDescent="0.25">
      <c r="D39"/>
      <c r="E39"/>
      <c r="F39"/>
      <c r="G39"/>
      <c r="J39"/>
      <c r="K39"/>
      <c r="L39"/>
      <c r="M39"/>
      <c r="O39"/>
      <c r="P39"/>
      <c r="Q39"/>
      <c r="R39"/>
      <c r="S39"/>
      <c r="T39"/>
      <c r="U39"/>
      <c r="V39"/>
      <c r="Y39"/>
      <c r="Z39"/>
      <c r="AA39"/>
      <c r="AB39"/>
      <c r="AF39"/>
      <c r="AG39"/>
      <c r="AH39"/>
      <c r="AI39"/>
      <c r="AJ39"/>
      <c r="AK39"/>
      <c r="AN39"/>
      <c r="AO39"/>
      <c r="AP39"/>
      <c r="AQ39"/>
      <c r="AR39"/>
      <c r="AS39"/>
      <c r="AV39"/>
      <c r="AW39"/>
      <c r="AX39"/>
      <c r="AY39"/>
      <c r="AZ39"/>
      <c r="BA39"/>
      <c r="BL39"/>
      <c r="BM39"/>
      <c r="BN39"/>
      <c r="BO39"/>
      <c r="BP39"/>
      <c r="BQ39"/>
    </row>
    <row r="40" spans="4:69" x14ac:dyDescent="0.25">
      <c r="D40"/>
      <c r="E40"/>
      <c r="F40"/>
      <c r="G40"/>
      <c r="J40"/>
      <c r="K40"/>
      <c r="L40"/>
      <c r="M40"/>
      <c r="O40"/>
      <c r="P40"/>
      <c r="Q40"/>
      <c r="R40"/>
      <c r="S40"/>
      <c r="T40"/>
      <c r="U40"/>
      <c r="V40"/>
      <c r="Y40"/>
      <c r="Z40"/>
      <c r="AA40"/>
      <c r="AB40"/>
      <c r="AF40"/>
      <c r="AG40"/>
      <c r="AH40"/>
      <c r="AI40"/>
      <c r="AJ40"/>
      <c r="AK40"/>
      <c r="AN40"/>
      <c r="AO40"/>
      <c r="AP40"/>
      <c r="AQ40"/>
      <c r="AR40"/>
      <c r="AS40"/>
      <c r="AV40"/>
      <c r="AW40"/>
      <c r="AX40"/>
      <c r="AY40"/>
      <c r="AZ40"/>
      <c r="BA40"/>
      <c r="BL40"/>
      <c r="BM40"/>
      <c r="BN40"/>
      <c r="BO40"/>
      <c r="BP40"/>
      <c r="BQ40"/>
    </row>
    <row r="41" spans="4:69" x14ac:dyDescent="0.25">
      <c r="D41"/>
      <c r="E41"/>
      <c r="F41"/>
      <c r="G41"/>
      <c r="J41"/>
      <c r="K41"/>
      <c r="L41"/>
      <c r="M41"/>
      <c r="O41"/>
      <c r="P41"/>
      <c r="Q41"/>
      <c r="R41"/>
      <c r="S41"/>
      <c r="T41"/>
      <c r="U41"/>
      <c r="V41"/>
      <c r="Y41"/>
      <c r="Z41"/>
      <c r="AA41"/>
      <c r="AB41"/>
      <c r="AF41"/>
      <c r="AG41"/>
      <c r="AH41"/>
      <c r="AI41"/>
      <c r="AJ41"/>
      <c r="AK41"/>
      <c r="AN41"/>
      <c r="AO41"/>
      <c r="AP41"/>
      <c r="AQ41"/>
      <c r="AR41"/>
      <c r="AS41"/>
      <c r="AV41"/>
      <c r="AW41"/>
      <c r="AX41"/>
      <c r="AY41"/>
      <c r="AZ41"/>
      <c r="BA41"/>
      <c r="BL41"/>
      <c r="BM41"/>
      <c r="BN41"/>
      <c r="BO41"/>
      <c r="BP41"/>
      <c r="BQ41"/>
    </row>
    <row r="42" spans="4:69" x14ac:dyDescent="0.25">
      <c r="D42"/>
      <c r="E42"/>
      <c r="F42"/>
      <c r="G42"/>
      <c r="J42"/>
      <c r="K42"/>
      <c r="L42"/>
      <c r="M42"/>
      <c r="O42"/>
      <c r="P42"/>
      <c r="Q42"/>
      <c r="R42"/>
      <c r="S42"/>
      <c r="T42"/>
      <c r="U42"/>
      <c r="V42"/>
      <c r="Y42"/>
      <c r="Z42"/>
      <c r="AA42"/>
      <c r="AB42"/>
      <c r="AF42"/>
      <c r="AG42"/>
      <c r="AH42"/>
      <c r="AI42"/>
      <c r="AJ42"/>
      <c r="AK42"/>
      <c r="AN42"/>
      <c r="AO42"/>
      <c r="AP42"/>
      <c r="AQ42"/>
      <c r="AR42"/>
      <c r="AS42"/>
      <c r="AV42"/>
      <c r="AW42"/>
      <c r="AX42"/>
      <c r="AY42"/>
      <c r="AZ42"/>
      <c r="BA42"/>
      <c r="BL42"/>
      <c r="BM42"/>
      <c r="BN42"/>
      <c r="BO42"/>
      <c r="BP42"/>
      <c r="BQ42"/>
    </row>
    <row r="43" spans="4:69" x14ac:dyDescent="0.25">
      <c r="D43"/>
      <c r="E43"/>
      <c r="F43"/>
      <c r="G43"/>
      <c r="J43"/>
      <c r="K43"/>
      <c r="L43"/>
      <c r="M43"/>
      <c r="O43"/>
      <c r="P43"/>
      <c r="Q43"/>
      <c r="R43"/>
      <c r="S43"/>
      <c r="T43"/>
      <c r="U43"/>
      <c r="V43"/>
      <c r="Y43"/>
      <c r="Z43"/>
      <c r="AA43"/>
      <c r="AB43"/>
      <c r="AF43"/>
      <c r="AG43"/>
      <c r="AH43"/>
      <c r="AI43"/>
      <c r="AJ43"/>
      <c r="AK43"/>
      <c r="AN43"/>
      <c r="AO43"/>
      <c r="AP43"/>
      <c r="AQ43"/>
      <c r="AR43"/>
      <c r="AS43"/>
      <c r="AV43"/>
      <c r="AW43"/>
      <c r="AX43"/>
      <c r="AY43"/>
      <c r="AZ43"/>
      <c r="BA43"/>
      <c r="BL43"/>
      <c r="BM43"/>
      <c r="BN43"/>
      <c r="BO43"/>
      <c r="BP43"/>
      <c r="BQ43"/>
    </row>
    <row r="44" spans="4:69" x14ac:dyDescent="0.25">
      <c r="D44"/>
      <c r="E44"/>
      <c r="F44"/>
      <c r="G44"/>
      <c r="J44"/>
      <c r="K44"/>
      <c r="L44"/>
      <c r="M44"/>
      <c r="O44"/>
      <c r="P44"/>
      <c r="Q44"/>
      <c r="R44"/>
      <c r="S44"/>
      <c r="T44"/>
      <c r="U44"/>
      <c r="V44"/>
      <c r="Y44"/>
      <c r="Z44"/>
      <c r="AA44"/>
      <c r="AB44"/>
      <c r="AF44"/>
      <c r="AG44"/>
      <c r="AH44"/>
      <c r="AI44"/>
      <c r="AJ44"/>
      <c r="AK44"/>
      <c r="AN44"/>
      <c r="AO44"/>
      <c r="AP44"/>
      <c r="AQ44"/>
      <c r="AR44"/>
      <c r="AS44"/>
      <c r="AV44"/>
      <c r="AW44"/>
      <c r="AX44"/>
      <c r="AY44"/>
      <c r="AZ44"/>
      <c r="BA44"/>
      <c r="BL44"/>
      <c r="BM44"/>
      <c r="BN44"/>
      <c r="BO44"/>
      <c r="BP44"/>
      <c r="BQ44"/>
    </row>
    <row r="45" spans="4:69" x14ac:dyDescent="0.25">
      <c r="D45"/>
      <c r="E45"/>
      <c r="F45"/>
      <c r="G45"/>
      <c r="J45"/>
      <c r="K45"/>
      <c r="L45"/>
      <c r="M45"/>
      <c r="O45"/>
      <c r="P45"/>
      <c r="Q45"/>
      <c r="R45"/>
      <c r="S45"/>
      <c r="T45"/>
      <c r="U45"/>
      <c r="V45"/>
      <c r="Y45"/>
      <c r="Z45"/>
      <c r="AA45"/>
      <c r="AB45"/>
      <c r="AF45"/>
      <c r="AG45"/>
      <c r="AH45"/>
      <c r="AI45"/>
      <c r="AJ45"/>
      <c r="AK45"/>
      <c r="AN45"/>
      <c r="AO45"/>
      <c r="AP45"/>
      <c r="AQ45"/>
      <c r="AR45"/>
      <c r="AS45"/>
      <c r="AV45"/>
      <c r="AW45"/>
      <c r="AX45"/>
      <c r="AY45"/>
      <c r="AZ45"/>
      <c r="BA45"/>
      <c r="BL45"/>
      <c r="BM45"/>
      <c r="BN45"/>
      <c r="BO45"/>
      <c r="BP45"/>
      <c r="BQ45"/>
    </row>
    <row r="46" spans="4:69" x14ac:dyDescent="0.25">
      <c r="D46"/>
      <c r="E46"/>
      <c r="F46"/>
      <c r="G46"/>
      <c r="J46"/>
      <c r="K46"/>
      <c r="L46"/>
      <c r="M46"/>
      <c r="O46"/>
      <c r="P46"/>
      <c r="Q46"/>
      <c r="R46"/>
      <c r="S46"/>
      <c r="T46"/>
      <c r="U46"/>
      <c r="V46"/>
      <c r="Y46"/>
      <c r="Z46"/>
      <c r="AA46"/>
      <c r="AB46"/>
      <c r="AF46"/>
      <c r="AG46"/>
      <c r="AH46"/>
      <c r="AI46"/>
      <c r="AJ46"/>
      <c r="AK46"/>
      <c r="AN46"/>
      <c r="AO46"/>
      <c r="AP46"/>
      <c r="AQ46"/>
      <c r="AR46"/>
      <c r="AS46"/>
      <c r="AV46"/>
      <c r="AW46"/>
      <c r="AX46"/>
      <c r="AY46"/>
      <c r="AZ46"/>
      <c r="BA46"/>
      <c r="BL46"/>
      <c r="BM46"/>
      <c r="BN46"/>
      <c r="BO46"/>
      <c r="BP46"/>
      <c r="BQ46"/>
    </row>
    <row r="47" spans="4:69" x14ac:dyDescent="0.25">
      <c r="D47"/>
      <c r="E47"/>
      <c r="F47"/>
      <c r="G47"/>
      <c r="J47"/>
      <c r="K47"/>
      <c r="L47"/>
      <c r="M47"/>
      <c r="O47"/>
      <c r="P47"/>
      <c r="Q47"/>
      <c r="R47"/>
      <c r="S47"/>
      <c r="T47"/>
      <c r="U47"/>
      <c r="V47"/>
      <c r="Y47"/>
      <c r="Z47"/>
      <c r="AA47"/>
      <c r="AB47"/>
      <c r="AF47"/>
      <c r="AG47"/>
      <c r="AH47"/>
      <c r="AI47"/>
      <c r="AJ47"/>
      <c r="AK47"/>
      <c r="AN47"/>
      <c r="AO47"/>
      <c r="AP47"/>
      <c r="AQ47"/>
      <c r="AR47"/>
      <c r="AS47"/>
      <c r="AV47"/>
      <c r="AW47"/>
      <c r="AX47"/>
      <c r="AY47"/>
      <c r="AZ47"/>
      <c r="BA47"/>
      <c r="BL47"/>
      <c r="BM47"/>
      <c r="BN47"/>
      <c r="BO47"/>
      <c r="BP47"/>
      <c r="BQ47"/>
    </row>
    <row r="48" spans="4:69" x14ac:dyDescent="0.25">
      <c r="D48"/>
      <c r="E48"/>
      <c r="F48"/>
      <c r="G48"/>
      <c r="J48"/>
      <c r="K48"/>
      <c r="L48"/>
      <c r="M48"/>
      <c r="O48"/>
      <c r="P48"/>
      <c r="Q48"/>
      <c r="R48"/>
      <c r="S48"/>
      <c r="T48"/>
      <c r="U48"/>
      <c r="V48"/>
      <c r="Y48"/>
      <c r="Z48"/>
      <c r="AA48"/>
      <c r="AB48"/>
      <c r="AF48"/>
      <c r="AG48"/>
      <c r="AH48"/>
      <c r="AI48"/>
      <c r="AJ48"/>
      <c r="AK48"/>
      <c r="AN48"/>
      <c r="AO48"/>
      <c r="AP48"/>
      <c r="AQ48"/>
      <c r="AR48"/>
      <c r="AS48"/>
      <c r="AV48"/>
      <c r="AW48"/>
      <c r="AX48"/>
      <c r="AY48"/>
      <c r="AZ48"/>
      <c r="BA48"/>
      <c r="BL48"/>
      <c r="BM48"/>
      <c r="BN48"/>
      <c r="BO48"/>
      <c r="BP48"/>
      <c r="BQ48"/>
    </row>
    <row r="49" spans="4:69" x14ac:dyDescent="0.25">
      <c r="D49"/>
      <c r="E49"/>
      <c r="F49"/>
      <c r="G49"/>
      <c r="J49"/>
      <c r="K49"/>
      <c r="L49"/>
      <c r="M49"/>
      <c r="O49"/>
      <c r="P49"/>
      <c r="Q49"/>
      <c r="R49"/>
      <c r="S49"/>
      <c r="T49"/>
      <c r="U49"/>
      <c r="V49"/>
      <c r="Y49"/>
      <c r="Z49"/>
      <c r="AA49"/>
      <c r="AB49"/>
      <c r="AF49"/>
      <c r="AG49"/>
      <c r="AH49"/>
      <c r="AI49"/>
      <c r="AJ49"/>
      <c r="AK49"/>
      <c r="AN49"/>
      <c r="AO49"/>
      <c r="AP49"/>
      <c r="AQ49"/>
      <c r="AR49"/>
      <c r="AS49"/>
      <c r="AV49"/>
      <c r="AW49"/>
      <c r="AX49"/>
      <c r="AY49"/>
      <c r="AZ49"/>
      <c r="BA49"/>
      <c r="BL49"/>
      <c r="BM49"/>
      <c r="BN49"/>
      <c r="BO49"/>
      <c r="BP49"/>
      <c r="BQ49"/>
    </row>
    <row r="50" spans="4:69" x14ac:dyDescent="0.25">
      <c r="D50"/>
      <c r="E50"/>
      <c r="F50"/>
      <c r="G50"/>
      <c r="J50"/>
      <c r="K50"/>
      <c r="L50"/>
      <c r="M50"/>
      <c r="O50"/>
      <c r="P50"/>
      <c r="Q50"/>
      <c r="R50"/>
      <c r="S50"/>
      <c r="T50"/>
      <c r="U50"/>
      <c r="V50"/>
      <c r="Y50"/>
      <c r="Z50"/>
      <c r="AA50"/>
      <c r="AB50"/>
      <c r="AF50"/>
      <c r="AG50"/>
      <c r="AH50"/>
      <c r="AI50"/>
      <c r="AJ50"/>
      <c r="AK50"/>
      <c r="AN50"/>
      <c r="AO50"/>
      <c r="AP50"/>
      <c r="AQ50"/>
      <c r="AR50"/>
      <c r="AS50"/>
      <c r="AV50"/>
      <c r="AW50"/>
      <c r="AX50"/>
      <c r="AY50"/>
      <c r="AZ50"/>
      <c r="BA50"/>
      <c r="BL50"/>
      <c r="BM50"/>
      <c r="BN50"/>
      <c r="BO50"/>
      <c r="BP50"/>
      <c r="BQ50"/>
    </row>
    <row r="51" spans="4:69" x14ac:dyDescent="0.25">
      <c r="D51"/>
      <c r="E51"/>
      <c r="F51"/>
      <c r="G51"/>
      <c r="J51"/>
      <c r="K51"/>
      <c r="L51"/>
      <c r="M51"/>
      <c r="O51"/>
      <c r="P51"/>
      <c r="Q51"/>
      <c r="R51"/>
      <c r="S51"/>
      <c r="T51"/>
      <c r="U51"/>
      <c r="V51"/>
      <c r="Y51"/>
      <c r="Z51"/>
      <c r="AA51"/>
      <c r="AB51"/>
      <c r="AF51"/>
      <c r="AG51"/>
      <c r="AH51"/>
      <c r="AI51"/>
      <c r="AJ51"/>
      <c r="AK51"/>
      <c r="AN51"/>
      <c r="AO51"/>
      <c r="AP51"/>
      <c r="AQ51"/>
      <c r="AR51"/>
      <c r="AS51"/>
      <c r="AV51"/>
      <c r="AW51"/>
      <c r="AX51"/>
      <c r="AY51"/>
      <c r="AZ51"/>
      <c r="BA51"/>
      <c r="BL51"/>
      <c r="BM51"/>
      <c r="BN51"/>
      <c r="BO51"/>
      <c r="BP51"/>
      <c r="BQ51"/>
    </row>
    <row r="52" spans="4:69" x14ac:dyDescent="0.25">
      <c r="D52"/>
      <c r="E52"/>
      <c r="F52"/>
      <c r="G52"/>
      <c r="J52"/>
      <c r="K52"/>
      <c r="L52"/>
      <c r="M52"/>
      <c r="O52"/>
      <c r="P52"/>
      <c r="Q52"/>
      <c r="R52"/>
      <c r="S52"/>
      <c r="T52"/>
      <c r="U52"/>
      <c r="V52"/>
      <c r="Y52"/>
      <c r="Z52"/>
      <c r="AA52"/>
      <c r="AB52"/>
      <c r="AF52"/>
      <c r="AG52"/>
      <c r="AH52"/>
      <c r="AI52"/>
      <c r="AJ52"/>
      <c r="AK52"/>
      <c r="AN52"/>
      <c r="AO52"/>
      <c r="AP52"/>
      <c r="AQ52"/>
      <c r="AR52"/>
      <c r="AS52"/>
      <c r="AV52"/>
      <c r="AW52"/>
      <c r="AX52"/>
      <c r="AY52"/>
      <c r="AZ52"/>
      <c r="BA52"/>
      <c r="BL52"/>
      <c r="BM52"/>
      <c r="BN52"/>
      <c r="BO52"/>
      <c r="BP52"/>
      <c r="BQ52"/>
    </row>
    <row r="53" spans="4:69" x14ac:dyDescent="0.25">
      <c r="D53"/>
      <c r="E53"/>
      <c r="F53"/>
      <c r="G53"/>
      <c r="J53"/>
      <c r="K53"/>
      <c r="L53"/>
      <c r="M53"/>
      <c r="O53"/>
      <c r="P53"/>
      <c r="Q53"/>
      <c r="R53"/>
      <c r="S53"/>
      <c r="T53"/>
      <c r="U53"/>
      <c r="V53"/>
      <c r="Y53"/>
      <c r="Z53"/>
      <c r="AA53"/>
      <c r="AB53"/>
      <c r="AF53"/>
      <c r="AG53"/>
      <c r="AH53"/>
      <c r="AI53"/>
      <c r="AJ53"/>
      <c r="AK53"/>
      <c r="AN53"/>
      <c r="AO53"/>
      <c r="AP53"/>
      <c r="AQ53"/>
      <c r="AR53"/>
      <c r="AS53"/>
      <c r="AV53"/>
      <c r="AW53"/>
      <c r="AX53"/>
      <c r="AY53"/>
      <c r="AZ53"/>
      <c r="BA53"/>
      <c r="BL53"/>
      <c r="BM53"/>
      <c r="BN53"/>
      <c r="BO53"/>
      <c r="BP53"/>
      <c r="BQ53"/>
    </row>
    <row r="54" spans="4:69" x14ac:dyDescent="0.25">
      <c r="D54"/>
      <c r="E54"/>
      <c r="F54"/>
      <c r="G54"/>
      <c r="J54"/>
      <c r="K54"/>
      <c r="L54"/>
      <c r="M54"/>
      <c r="O54"/>
      <c r="P54"/>
      <c r="Q54"/>
      <c r="R54"/>
      <c r="S54"/>
      <c r="T54"/>
      <c r="U54"/>
      <c r="V54"/>
      <c r="Y54"/>
      <c r="Z54"/>
      <c r="AA54"/>
      <c r="AB54"/>
      <c r="AF54"/>
      <c r="AG54"/>
      <c r="AH54"/>
      <c r="AI54"/>
      <c r="AJ54"/>
      <c r="AK54"/>
      <c r="AN54"/>
      <c r="AO54"/>
      <c r="AP54"/>
      <c r="AQ54"/>
      <c r="AR54"/>
      <c r="AS54"/>
      <c r="AV54"/>
      <c r="AW54"/>
      <c r="AX54"/>
      <c r="AY54"/>
      <c r="AZ54"/>
      <c r="BA54"/>
      <c r="BL54"/>
      <c r="BM54"/>
      <c r="BN54"/>
      <c r="BO54"/>
      <c r="BP54"/>
      <c r="BQ54"/>
    </row>
    <row r="55" spans="4:69" x14ac:dyDescent="0.25">
      <c r="D55"/>
      <c r="E55"/>
      <c r="F55"/>
      <c r="G55"/>
      <c r="J55"/>
      <c r="K55"/>
      <c r="L55"/>
      <c r="M55"/>
      <c r="O55"/>
      <c r="P55"/>
      <c r="Q55"/>
      <c r="R55"/>
      <c r="S55"/>
      <c r="T55"/>
      <c r="U55"/>
      <c r="V55"/>
      <c r="Y55"/>
      <c r="Z55"/>
      <c r="AA55"/>
      <c r="AB55"/>
      <c r="AF55"/>
      <c r="AG55"/>
      <c r="AH55"/>
      <c r="AI55"/>
      <c r="AJ55"/>
      <c r="AK55"/>
      <c r="AN55"/>
      <c r="AO55"/>
      <c r="AP55"/>
      <c r="AQ55"/>
      <c r="AR55"/>
      <c r="AS55"/>
      <c r="AV55"/>
      <c r="AW55"/>
      <c r="AX55"/>
      <c r="AY55"/>
      <c r="AZ55"/>
      <c r="BA55"/>
      <c r="BL55"/>
      <c r="BM55"/>
      <c r="BN55"/>
      <c r="BO55"/>
      <c r="BP55"/>
      <c r="BQ55"/>
    </row>
    <row r="56" spans="4:69" x14ac:dyDescent="0.25">
      <c r="D56"/>
      <c r="E56"/>
      <c r="F56"/>
      <c r="G56"/>
      <c r="J56"/>
      <c r="K56"/>
      <c r="L56"/>
      <c r="M56"/>
      <c r="O56"/>
      <c r="P56"/>
      <c r="Q56"/>
      <c r="R56"/>
      <c r="S56"/>
      <c r="T56"/>
      <c r="U56"/>
      <c r="V56"/>
      <c r="Y56"/>
      <c r="Z56"/>
      <c r="AA56"/>
      <c r="AB56"/>
      <c r="AF56"/>
      <c r="AG56"/>
      <c r="AH56"/>
      <c r="AI56"/>
      <c r="AJ56"/>
      <c r="AK56"/>
      <c r="AN56"/>
      <c r="AO56"/>
      <c r="AP56"/>
      <c r="AQ56"/>
      <c r="AR56"/>
      <c r="AS56"/>
      <c r="AV56"/>
      <c r="AW56"/>
      <c r="AX56"/>
      <c r="AY56"/>
      <c r="AZ56"/>
      <c r="BA56"/>
      <c r="BL56"/>
      <c r="BM56"/>
      <c r="BN56"/>
      <c r="BO56"/>
      <c r="BP56"/>
      <c r="BQ56"/>
    </row>
    <row r="57" spans="4:69" x14ac:dyDescent="0.25">
      <c r="D57"/>
      <c r="E57"/>
      <c r="F57"/>
      <c r="G57"/>
      <c r="J57"/>
      <c r="K57"/>
      <c r="L57"/>
      <c r="M57"/>
      <c r="O57"/>
      <c r="P57"/>
      <c r="Q57"/>
      <c r="R57"/>
      <c r="S57"/>
      <c r="T57"/>
      <c r="U57"/>
      <c r="V57"/>
      <c r="Y57"/>
      <c r="Z57"/>
      <c r="AA57"/>
      <c r="AB57"/>
      <c r="AF57"/>
      <c r="AG57"/>
      <c r="AH57"/>
      <c r="AI57"/>
      <c r="AJ57"/>
      <c r="AK57"/>
      <c r="AN57"/>
      <c r="AO57"/>
      <c r="AP57"/>
      <c r="AQ57"/>
      <c r="AR57"/>
      <c r="AS57"/>
      <c r="AV57"/>
      <c r="AW57"/>
      <c r="AX57"/>
      <c r="AY57"/>
      <c r="AZ57"/>
      <c r="BA57"/>
      <c r="BL57"/>
      <c r="BM57"/>
      <c r="BN57"/>
      <c r="BO57"/>
      <c r="BP57"/>
      <c r="BQ57"/>
    </row>
    <row r="58" spans="4:69" x14ac:dyDescent="0.25">
      <c r="D58"/>
      <c r="E58"/>
      <c r="F58"/>
      <c r="G58"/>
      <c r="J58"/>
      <c r="K58"/>
      <c r="L58"/>
      <c r="M58"/>
      <c r="O58"/>
      <c r="P58"/>
      <c r="Q58"/>
      <c r="R58"/>
      <c r="S58"/>
      <c r="T58"/>
      <c r="U58"/>
      <c r="V58"/>
      <c r="Y58"/>
      <c r="Z58"/>
      <c r="AA58"/>
      <c r="AB58"/>
      <c r="AF58"/>
      <c r="AG58"/>
      <c r="AH58"/>
      <c r="AI58"/>
      <c r="AJ58"/>
      <c r="AK58"/>
      <c r="AN58"/>
      <c r="AO58"/>
      <c r="AP58"/>
      <c r="AQ58"/>
      <c r="AR58"/>
      <c r="AS58"/>
      <c r="AV58"/>
      <c r="AW58"/>
      <c r="AX58"/>
      <c r="AY58"/>
      <c r="AZ58"/>
      <c r="BA58"/>
      <c r="BL58"/>
      <c r="BM58"/>
      <c r="BN58"/>
      <c r="BO58"/>
      <c r="BP58"/>
      <c r="BQ58"/>
    </row>
    <row r="59" spans="4:69" x14ac:dyDescent="0.25">
      <c r="D59"/>
      <c r="E59"/>
      <c r="F59"/>
      <c r="G59"/>
      <c r="J59"/>
      <c r="K59"/>
      <c r="L59"/>
      <c r="M59"/>
      <c r="O59"/>
      <c r="P59"/>
      <c r="Q59"/>
      <c r="R59"/>
      <c r="S59"/>
      <c r="T59"/>
      <c r="U59"/>
      <c r="V59"/>
      <c r="Y59"/>
      <c r="Z59"/>
      <c r="AA59"/>
      <c r="AB59"/>
      <c r="AF59"/>
      <c r="AG59"/>
      <c r="AH59"/>
      <c r="AI59"/>
      <c r="AJ59"/>
      <c r="AK59"/>
      <c r="AN59"/>
      <c r="AO59"/>
      <c r="AP59"/>
      <c r="AQ59"/>
      <c r="AR59"/>
      <c r="AS59"/>
      <c r="AV59"/>
      <c r="AW59"/>
      <c r="AX59"/>
      <c r="AY59"/>
      <c r="AZ59"/>
      <c r="BA59"/>
      <c r="BL59"/>
      <c r="BM59"/>
      <c r="BN59"/>
      <c r="BO59"/>
      <c r="BP59"/>
      <c r="BQ59"/>
    </row>
    <row r="60" spans="4:69" x14ac:dyDescent="0.25">
      <c r="D60"/>
      <c r="E60"/>
      <c r="F60"/>
      <c r="G60"/>
      <c r="J60"/>
      <c r="K60"/>
      <c r="L60"/>
      <c r="M60"/>
      <c r="O60"/>
      <c r="P60"/>
      <c r="Q60"/>
      <c r="R60"/>
      <c r="S60"/>
      <c r="T60"/>
      <c r="U60"/>
      <c r="V60"/>
      <c r="Y60"/>
      <c r="Z60"/>
      <c r="AA60"/>
      <c r="AB60"/>
      <c r="AF60"/>
      <c r="AG60"/>
      <c r="AH60"/>
      <c r="AI60"/>
      <c r="AJ60"/>
      <c r="AK60"/>
      <c r="AN60"/>
      <c r="AO60"/>
      <c r="AP60"/>
      <c r="AQ60"/>
      <c r="AR60"/>
      <c r="AS60"/>
      <c r="AV60"/>
      <c r="AW60"/>
      <c r="AX60"/>
      <c r="AY60"/>
      <c r="AZ60"/>
      <c r="BA60"/>
      <c r="BL60"/>
      <c r="BM60"/>
      <c r="BN60"/>
      <c r="BO60"/>
      <c r="BP60"/>
      <c r="BQ60"/>
    </row>
    <row r="61" spans="4:69" x14ac:dyDescent="0.25">
      <c r="D61"/>
      <c r="E61"/>
      <c r="F61"/>
      <c r="G61"/>
      <c r="J61"/>
      <c r="K61"/>
      <c r="L61"/>
      <c r="M61"/>
      <c r="O61"/>
      <c r="P61"/>
      <c r="Q61"/>
      <c r="R61"/>
      <c r="S61"/>
      <c r="T61"/>
      <c r="U61"/>
      <c r="V61"/>
      <c r="Y61"/>
      <c r="Z61"/>
      <c r="AA61"/>
      <c r="AB61"/>
      <c r="AF61"/>
      <c r="AG61"/>
      <c r="AH61"/>
      <c r="AI61"/>
      <c r="AJ61"/>
      <c r="AK61"/>
      <c r="AN61"/>
      <c r="AO61"/>
      <c r="AP61"/>
      <c r="AQ61"/>
      <c r="AR61"/>
      <c r="AS61"/>
      <c r="AV61"/>
      <c r="AW61"/>
      <c r="AX61"/>
      <c r="AY61"/>
      <c r="AZ61"/>
      <c r="BA61"/>
      <c r="BL61"/>
      <c r="BM61"/>
      <c r="BN61"/>
      <c r="BO61"/>
      <c r="BP61"/>
      <c r="BQ61"/>
    </row>
    <row r="62" spans="4:69" x14ac:dyDescent="0.25">
      <c r="D62"/>
      <c r="E62"/>
      <c r="F62"/>
      <c r="G62"/>
      <c r="J62"/>
      <c r="K62"/>
      <c r="L62"/>
      <c r="M62"/>
      <c r="O62"/>
      <c r="P62"/>
      <c r="Q62"/>
      <c r="R62"/>
      <c r="S62"/>
      <c r="T62"/>
      <c r="U62"/>
      <c r="V62"/>
      <c r="Y62"/>
      <c r="Z62"/>
      <c r="AA62"/>
      <c r="AB62"/>
      <c r="AF62"/>
      <c r="AG62"/>
      <c r="AH62"/>
      <c r="AI62"/>
      <c r="AJ62"/>
      <c r="AK62"/>
      <c r="AN62"/>
      <c r="AO62"/>
      <c r="AP62"/>
      <c r="AQ62"/>
      <c r="AR62"/>
      <c r="AS62"/>
      <c r="AV62"/>
      <c r="AW62"/>
      <c r="AX62"/>
      <c r="AY62"/>
      <c r="AZ62"/>
      <c r="BA62"/>
      <c r="BL62"/>
      <c r="BM62"/>
      <c r="BN62"/>
      <c r="BO62"/>
      <c r="BP62"/>
      <c r="BQ62"/>
    </row>
    <row r="63" spans="4:69" x14ac:dyDescent="0.25">
      <c r="D63"/>
      <c r="E63"/>
      <c r="F63"/>
      <c r="G63"/>
      <c r="J63"/>
      <c r="K63"/>
      <c r="L63"/>
      <c r="M63"/>
      <c r="O63"/>
      <c r="P63"/>
      <c r="Q63"/>
      <c r="R63"/>
      <c r="S63"/>
      <c r="T63"/>
      <c r="U63"/>
      <c r="V63"/>
      <c r="Y63"/>
      <c r="Z63"/>
      <c r="AA63"/>
      <c r="AB63"/>
      <c r="AF63"/>
      <c r="AG63"/>
      <c r="AH63"/>
      <c r="AI63"/>
      <c r="AJ63"/>
      <c r="AK63"/>
      <c r="AN63"/>
      <c r="AO63"/>
      <c r="AP63"/>
      <c r="AQ63"/>
      <c r="AR63"/>
      <c r="AS63"/>
      <c r="AV63"/>
      <c r="AW63"/>
      <c r="AX63"/>
      <c r="AY63"/>
      <c r="AZ63"/>
      <c r="BA63"/>
      <c r="BL63"/>
      <c r="BM63"/>
      <c r="BN63"/>
      <c r="BO63"/>
      <c r="BP63"/>
      <c r="BQ63"/>
    </row>
    <row r="64" spans="4:69" x14ac:dyDescent="0.25">
      <c r="D64"/>
      <c r="E64"/>
      <c r="F64"/>
      <c r="G64"/>
      <c r="J64"/>
      <c r="K64"/>
      <c r="L64"/>
      <c r="M64"/>
      <c r="O64"/>
      <c r="P64"/>
      <c r="Q64"/>
      <c r="R64"/>
      <c r="S64"/>
      <c r="T64"/>
      <c r="U64"/>
      <c r="V64"/>
      <c r="Y64"/>
      <c r="Z64"/>
      <c r="AA64"/>
      <c r="AB64"/>
      <c r="AF64"/>
      <c r="AG64"/>
      <c r="AH64"/>
      <c r="AI64"/>
      <c r="AJ64"/>
      <c r="AK64"/>
      <c r="AN64"/>
      <c r="AO64"/>
      <c r="AP64"/>
      <c r="AQ64"/>
      <c r="AR64"/>
      <c r="AS64"/>
      <c r="AV64"/>
      <c r="AW64"/>
      <c r="AX64"/>
      <c r="AY64"/>
      <c r="AZ64"/>
      <c r="BA64"/>
      <c r="BL64"/>
      <c r="BM64"/>
      <c r="BN64"/>
      <c r="BO64"/>
      <c r="BP64"/>
      <c r="BQ64"/>
    </row>
    <row r="65" spans="4:69" x14ac:dyDescent="0.25">
      <c r="D65"/>
      <c r="E65"/>
      <c r="F65"/>
      <c r="G65"/>
      <c r="J65"/>
      <c r="K65"/>
      <c r="L65"/>
      <c r="M65"/>
      <c r="O65"/>
      <c r="P65"/>
      <c r="Q65"/>
      <c r="R65"/>
      <c r="S65"/>
      <c r="T65"/>
      <c r="U65"/>
      <c r="V65"/>
      <c r="Y65"/>
      <c r="Z65"/>
      <c r="AA65"/>
      <c r="AB65"/>
      <c r="AF65"/>
      <c r="AG65"/>
      <c r="AH65"/>
      <c r="AI65"/>
      <c r="AJ65"/>
      <c r="AK65"/>
      <c r="AN65"/>
      <c r="AO65"/>
      <c r="AP65"/>
      <c r="AQ65"/>
      <c r="AR65"/>
      <c r="AS65"/>
      <c r="AV65"/>
      <c r="AW65"/>
      <c r="AX65"/>
      <c r="AY65"/>
      <c r="AZ65"/>
      <c r="BA65"/>
      <c r="BL65"/>
      <c r="BM65"/>
      <c r="BN65"/>
      <c r="BO65"/>
      <c r="BP65"/>
      <c r="BQ65"/>
    </row>
    <row r="66" spans="4:69" x14ac:dyDescent="0.25">
      <c r="D66"/>
      <c r="E66"/>
      <c r="F66"/>
      <c r="G66"/>
      <c r="J66"/>
      <c r="K66"/>
      <c r="L66"/>
      <c r="M66"/>
      <c r="O66"/>
      <c r="P66"/>
      <c r="Q66"/>
      <c r="R66"/>
      <c r="S66"/>
      <c r="T66"/>
      <c r="U66"/>
      <c r="V66"/>
      <c r="Y66"/>
      <c r="Z66"/>
      <c r="AA66"/>
      <c r="AB66"/>
      <c r="AF66"/>
      <c r="AG66"/>
      <c r="AH66"/>
      <c r="AI66"/>
      <c r="AJ66"/>
      <c r="AK66"/>
      <c r="AN66"/>
      <c r="AO66"/>
      <c r="AP66"/>
      <c r="AQ66"/>
      <c r="AR66"/>
      <c r="AS66"/>
      <c r="AV66"/>
      <c r="AW66"/>
      <c r="AX66"/>
      <c r="AY66"/>
      <c r="AZ66"/>
      <c r="BA66"/>
      <c r="BL66"/>
      <c r="BM66"/>
      <c r="BN66"/>
      <c r="BO66"/>
      <c r="BP66"/>
      <c r="BQ66"/>
    </row>
    <row r="67" spans="4:69" x14ac:dyDescent="0.25">
      <c r="D67"/>
      <c r="E67"/>
      <c r="F67"/>
      <c r="G67"/>
      <c r="J67"/>
      <c r="K67"/>
      <c r="L67"/>
      <c r="M67"/>
      <c r="O67"/>
      <c r="P67"/>
      <c r="Q67"/>
      <c r="R67"/>
      <c r="S67"/>
      <c r="T67"/>
      <c r="U67"/>
      <c r="V67"/>
      <c r="Y67"/>
      <c r="Z67"/>
      <c r="AA67"/>
      <c r="AB67"/>
      <c r="AF67"/>
      <c r="AG67"/>
      <c r="AH67"/>
      <c r="AI67"/>
      <c r="AJ67"/>
      <c r="AK67"/>
      <c r="AN67"/>
      <c r="AO67"/>
      <c r="AP67"/>
      <c r="AQ67"/>
      <c r="AR67"/>
      <c r="AS67"/>
      <c r="AV67"/>
      <c r="AW67"/>
      <c r="AX67"/>
      <c r="AY67"/>
      <c r="AZ67"/>
      <c r="BA67"/>
      <c r="BL67"/>
      <c r="BM67"/>
      <c r="BN67"/>
      <c r="BO67"/>
      <c r="BP67"/>
      <c r="BQ67"/>
    </row>
    <row r="68" spans="4:69" x14ac:dyDescent="0.25">
      <c r="D68"/>
      <c r="E68"/>
      <c r="F68"/>
      <c r="G68"/>
      <c r="J68"/>
      <c r="K68"/>
      <c r="L68"/>
      <c r="M68"/>
      <c r="O68"/>
      <c r="P68"/>
      <c r="Q68"/>
      <c r="R68"/>
      <c r="S68"/>
      <c r="T68"/>
      <c r="U68"/>
      <c r="V68"/>
      <c r="Y68"/>
      <c r="Z68"/>
      <c r="AA68"/>
      <c r="AB68"/>
      <c r="AF68"/>
      <c r="AG68"/>
      <c r="AH68"/>
      <c r="AI68"/>
      <c r="AJ68"/>
      <c r="AK68"/>
      <c r="AN68"/>
      <c r="AO68"/>
      <c r="AP68"/>
      <c r="AQ68"/>
      <c r="AR68"/>
      <c r="AS68"/>
      <c r="AV68"/>
      <c r="AW68"/>
      <c r="AX68"/>
      <c r="AY68"/>
      <c r="AZ68"/>
      <c r="BA68"/>
      <c r="BL68"/>
      <c r="BM68"/>
      <c r="BN68"/>
      <c r="BO68"/>
      <c r="BP68"/>
      <c r="BQ68"/>
    </row>
    <row r="69" spans="4:69" x14ac:dyDescent="0.25">
      <c r="D69"/>
      <c r="E69"/>
      <c r="F69"/>
      <c r="G69"/>
      <c r="J69"/>
      <c r="K69"/>
      <c r="L69"/>
      <c r="M69"/>
      <c r="O69"/>
      <c r="P69"/>
      <c r="Q69"/>
      <c r="R69"/>
      <c r="S69"/>
      <c r="T69"/>
      <c r="U69"/>
      <c r="V69"/>
      <c r="Y69"/>
      <c r="Z69"/>
      <c r="AA69"/>
      <c r="AB69"/>
      <c r="AF69"/>
      <c r="AG69"/>
      <c r="AH69"/>
      <c r="AI69"/>
      <c r="AJ69"/>
      <c r="AK69"/>
      <c r="AN69"/>
      <c r="AO69"/>
      <c r="AP69"/>
      <c r="AQ69"/>
      <c r="AR69"/>
      <c r="AS69"/>
      <c r="AV69"/>
      <c r="AW69"/>
      <c r="AX69"/>
      <c r="AY69"/>
      <c r="AZ69"/>
      <c r="BA69"/>
      <c r="BL69"/>
      <c r="BM69"/>
      <c r="BN69"/>
      <c r="BO69"/>
      <c r="BP69"/>
      <c r="BQ69"/>
    </row>
    <row r="70" spans="4:69" x14ac:dyDescent="0.25">
      <c r="D70"/>
      <c r="E70"/>
      <c r="F70"/>
      <c r="G70"/>
      <c r="J70"/>
      <c r="K70"/>
      <c r="L70"/>
      <c r="M70"/>
      <c r="O70"/>
      <c r="P70"/>
      <c r="Q70"/>
      <c r="R70"/>
      <c r="S70"/>
      <c r="T70"/>
      <c r="U70"/>
      <c r="V70"/>
      <c r="Y70"/>
      <c r="Z70"/>
      <c r="AA70"/>
      <c r="AB70"/>
      <c r="AF70"/>
      <c r="AG70"/>
      <c r="AH70"/>
      <c r="AI70"/>
      <c r="AJ70"/>
      <c r="AK70"/>
      <c r="AN70"/>
      <c r="AO70"/>
      <c r="AP70"/>
      <c r="AQ70"/>
      <c r="AR70"/>
      <c r="AS70"/>
      <c r="AV70"/>
      <c r="AW70"/>
      <c r="AX70"/>
      <c r="AY70"/>
      <c r="AZ70"/>
      <c r="BA70"/>
      <c r="BL70"/>
      <c r="BM70"/>
      <c r="BN70"/>
      <c r="BO70"/>
      <c r="BP70"/>
      <c r="BQ70"/>
    </row>
    <row r="71" spans="4:69" x14ac:dyDescent="0.25">
      <c r="D71"/>
      <c r="E71"/>
      <c r="F71"/>
      <c r="G71"/>
      <c r="J71"/>
      <c r="K71"/>
      <c r="L71"/>
      <c r="M71"/>
      <c r="O71"/>
      <c r="P71"/>
      <c r="Q71"/>
      <c r="R71"/>
      <c r="S71"/>
      <c r="T71"/>
      <c r="U71"/>
      <c r="V71"/>
      <c r="Y71"/>
      <c r="Z71"/>
      <c r="AA71"/>
      <c r="AB71"/>
      <c r="AF71"/>
      <c r="AG71"/>
      <c r="AH71"/>
      <c r="AI71"/>
      <c r="AJ71"/>
      <c r="AK71"/>
      <c r="AN71"/>
      <c r="AO71"/>
      <c r="AP71"/>
      <c r="AQ71"/>
      <c r="AR71"/>
      <c r="AS71"/>
      <c r="AV71"/>
      <c r="AW71"/>
      <c r="AX71"/>
      <c r="AY71"/>
      <c r="AZ71"/>
      <c r="BA71"/>
      <c r="BL71"/>
      <c r="BM71"/>
      <c r="BN71"/>
      <c r="BO71"/>
      <c r="BP71"/>
      <c r="BQ71"/>
    </row>
    <row r="72" spans="4:69" x14ac:dyDescent="0.25">
      <c r="D72"/>
      <c r="E72"/>
      <c r="F72"/>
      <c r="G72"/>
      <c r="J72"/>
      <c r="K72"/>
      <c r="L72"/>
      <c r="M72"/>
      <c r="O72"/>
      <c r="P72"/>
      <c r="Q72"/>
      <c r="R72"/>
      <c r="S72"/>
      <c r="T72"/>
      <c r="U72"/>
      <c r="V72"/>
      <c r="Y72"/>
      <c r="Z72"/>
      <c r="AA72"/>
      <c r="AB72"/>
      <c r="AF72"/>
      <c r="AG72"/>
      <c r="AH72"/>
      <c r="AI72"/>
      <c r="AJ72"/>
      <c r="AK72"/>
      <c r="AN72"/>
      <c r="AO72"/>
      <c r="AP72"/>
      <c r="AQ72"/>
      <c r="AR72"/>
      <c r="AS72"/>
      <c r="AV72"/>
      <c r="AW72"/>
      <c r="AX72"/>
      <c r="AY72"/>
      <c r="AZ72"/>
      <c r="BA72"/>
      <c r="BL72"/>
      <c r="BM72"/>
      <c r="BN72"/>
      <c r="BO72"/>
      <c r="BP72"/>
      <c r="BQ72"/>
    </row>
    <row r="73" spans="4:69" x14ac:dyDescent="0.25">
      <c r="D73"/>
      <c r="E73"/>
      <c r="F73"/>
      <c r="G73"/>
      <c r="J73"/>
      <c r="K73"/>
      <c r="L73"/>
      <c r="M73"/>
      <c r="O73"/>
      <c r="P73"/>
      <c r="Q73"/>
      <c r="R73"/>
      <c r="S73"/>
      <c r="T73"/>
      <c r="U73"/>
      <c r="V73"/>
      <c r="Y73"/>
      <c r="Z73"/>
      <c r="AA73"/>
      <c r="AB73"/>
      <c r="AF73"/>
      <c r="AG73"/>
      <c r="AH73"/>
      <c r="AI73"/>
      <c r="AJ73"/>
      <c r="AK73"/>
      <c r="AN73"/>
      <c r="AO73"/>
      <c r="AP73"/>
      <c r="AQ73"/>
      <c r="AR73"/>
      <c r="AS73"/>
      <c r="AV73"/>
      <c r="AW73"/>
      <c r="AX73"/>
      <c r="AY73"/>
      <c r="AZ73"/>
      <c r="BA73"/>
      <c r="BL73"/>
      <c r="BM73"/>
      <c r="BN73"/>
      <c r="BO73"/>
      <c r="BP73"/>
      <c r="BQ73"/>
    </row>
    <row r="74" spans="4:69" x14ac:dyDescent="0.25">
      <c r="D74"/>
      <c r="E74"/>
      <c r="F74"/>
      <c r="G74"/>
      <c r="J74"/>
      <c r="K74"/>
      <c r="L74"/>
      <c r="M74"/>
      <c r="O74"/>
      <c r="P74"/>
      <c r="Q74"/>
      <c r="R74"/>
      <c r="S74"/>
      <c r="T74"/>
      <c r="U74"/>
      <c r="V74"/>
      <c r="Y74"/>
      <c r="Z74"/>
      <c r="AA74"/>
      <c r="AB74"/>
      <c r="AF74"/>
      <c r="AG74"/>
      <c r="AH74"/>
      <c r="AI74"/>
      <c r="AJ74"/>
      <c r="AK74"/>
      <c r="AN74"/>
      <c r="AO74"/>
      <c r="AP74"/>
      <c r="AQ74"/>
      <c r="AR74"/>
      <c r="AS74"/>
      <c r="AV74"/>
      <c r="AW74"/>
      <c r="AX74"/>
      <c r="AY74"/>
      <c r="AZ74"/>
      <c r="BA74"/>
      <c r="BL74"/>
      <c r="BM74"/>
      <c r="BN74"/>
      <c r="BO74"/>
      <c r="BP74"/>
      <c r="BQ74"/>
    </row>
    <row r="75" spans="4:69" x14ac:dyDescent="0.25">
      <c r="D75"/>
      <c r="E75"/>
      <c r="F75"/>
      <c r="G75"/>
      <c r="J75"/>
      <c r="K75"/>
      <c r="L75"/>
      <c r="M75"/>
      <c r="O75"/>
      <c r="P75"/>
      <c r="Q75"/>
      <c r="R75"/>
      <c r="S75"/>
      <c r="T75"/>
      <c r="U75"/>
      <c r="V75"/>
      <c r="Y75"/>
      <c r="Z75"/>
      <c r="AA75"/>
      <c r="AB75"/>
      <c r="AF75"/>
      <c r="AG75"/>
      <c r="AH75"/>
      <c r="AI75"/>
      <c r="AJ75"/>
      <c r="AK75"/>
      <c r="AN75"/>
      <c r="AO75"/>
      <c r="AP75"/>
      <c r="AQ75"/>
      <c r="AR75"/>
      <c r="AS75"/>
      <c r="AV75"/>
      <c r="AW75"/>
      <c r="AX75"/>
      <c r="AY75"/>
      <c r="AZ75"/>
      <c r="BA75"/>
      <c r="BL75"/>
      <c r="BM75"/>
      <c r="BN75"/>
      <c r="BO75"/>
      <c r="BP75"/>
      <c r="BQ75"/>
    </row>
    <row r="76" spans="4:69" x14ac:dyDescent="0.25">
      <c r="D76"/>
      <c r="E76"/>
      <c r="F76"/>
      <c r="G76"/>
      <c r="J76"/>
      <c r="K76"/>
      <c r="L76"/>
      <c r="M76"/>
      <c r="O76"/>
      <c r="P76"/>
      <c r="Q76"/>
      <c r="R76"/>
      <c r="S76"/>
      <c r="T76"/>
      <c r="U76"/>
      <c r="V76"/>
      <c r="Y76"/>
      <c r="Z76"/>
      <c r="AA76"/>
      <c r="AB76"/>
      <c r="AF76"/>
      <c r="AG76"/>
      <c r="AH76"/>
      <c r="AI76"/>
      <c r="AJ76"/>
      <c r="AK76"/>
      <c r="AN76"/>
      <c r="AO76"/>
      <c r="AP76"/>
      <c r="AQ76"/>
      <c r="AR76"/>
      <c r="AS76"/>
      <c r="AV76"/>
      <c r="AW76"/>
      <c r="AX76"/>
      <c r="AY76"/>
      <c r="AZ76"/>
      <c r="BA76"/>
      <c r="BL76"/>
      <c r="BM76"/>
      <c r="BN76"/>
      <c r="BO76"/>
      <c r="BP76"/>
      <c r="BQ76"/>
    </row>
    <row r="77" spans="4:69" x14ac:dyDescent="0.25">
      <c r="D77"/>
      <c r="E77"/>
      <c r="F77"/>
      <c r="G77"/>
      <c r="J77"/>
      <c r="K77"/>
      <c r="L77"/>
      <c r="M77"/>
      <c r="O77"/>
      <c r="P77"/>
      <c r="Q77"/>
      <c r="R77"/>
      <c r="S77"/>
      <c r="T77"/>
      <c r="U77"/>
      <c r="V77"/>
      <c r="Y77"/>
      <c r="Z77"/>
      <c r="AA77"/>
      <c r="AB77"/>
      <c r="AF77"/>
      <c r="AG77"/>
      <c r="AH77"/>
      <c r="AI77"/>
      <c r="AJ77"/>
      <c r="AK77"/>
      <c r="AN77"/>
      <c r="AO77"/>
      <c r="AP77"/>
      <c r="AQ77"/>
      <c r="AR77"/>
      <c r="AS77"/>
      <c r="AV77"/>
      <c r="AW77"/>
      <c r="AX77"/>
      <c r="AY77"/>
      <c r="AZ77"/>
      <c r="BA77"/>
      <c r="BL77"/>
      <c r="BM77"/>
      <c r="BN77"/>
      <c r="BO77"/>
      <c r="BP77"/>
      <c r="BQ77"/>
    </row>
    <row r="78" spans="4:69" x14ac:dyDescent="0.25">
      <c r="D78"/>
      <c r="E78"/>
      <c r="F78"/>
      <c r="G78"/>
      <c r="J78"/>
      <c r="K78"/>
      <c r="L78"/>
      <c r="M78"/>
      <c r="O78"/>
      <c r="P78"/>
      <c r="Q78"/>
      <c r="R78"/>
      <c r="S78"/>
      <c r="T78"/>
      <c r="U78"/>
      <c r="V78"/>
      <c r="Y78"/>
      <c r="Z78"/>
      <c r="AA78"/>
      <c r="AB78"/>
      <c r="AF78"/>
      <c r="AG78"/>
      <c r="AH78"/>
      <c r="AI78"/>
      <c r="AJ78"/>
      <c r="AK78"/>
      <c r="AN78"/>
      <c r="AO78"/>
      <c r="AP78"/>
      <c r="AQ78"/>
      <c r="AR78"/>
      <c r="AS78"/>
      <c r="AV78"/>
      <c r="AW78"/>
      <c r="AX78"/>
      <c r="AY78"/>
      <c r="AZ78"/>
      <c r="BA78"/>
      <c r="BL78"/>
      <c r="BM78"/>
      <c r="BN78"/>
      <c r="BO78"/>
      <c r="BP78"/>
      <c r="BQ78"/>
    </row>
    <row r="79" spans="4:69" x14ac:dyDescent="0.25">
      <c r="D79"/>
      <c r="E79"/>
      <c r="F79"/>
      <c r="G79"/>
      <c r="J79"/>
      <c r="K79"/>
      <c r="L79"/>
      <c r="M79"/>
      <c r="O79"/>
      <c r="P79"/>
      <c r="Q79"/>
      <c r="R79"/>
      <c r="S79"/>
      <c r="T79"/>
      <c r="U79"/>
      <c r="V79"/>
      <c r="Y79"/>
      <c r="Z79"/>
      <c r="AA79"/>
      <c r="AB79"/>
      <c r="AF79"/>
      <c r="AG79"/>
      <c r="AH79"/>
      <c r="AI79"/>
      <c r="AJ79"/>
      <c r="AK79"/>
      <c r="AN79"/>
      <c r="AO79"/>
      <c r="AP79"/>
      <c r="AQ79"/>
      <c r="AR79"/>
      <c r="AS79"/>
      <c r="AV79"/>
      <c r="AW79"/>
      <c r="AX79"/>
      <c r="AY79"/>
      <c r="AZ79"/>
      <c r="BA79"/>
      <c r="BL79"/>
      <c r="BM79"/>
      <c r="BN79"/>
      <c r="BO79"/>
      <c r="BP79"/>
      <c r="BQ79"/>
    </row>
    <row r="80" spans="4:69" x14ac:dyDescent="0.25">
      <c r="D80"/>
      <c r="E80"/>
      <c r="F80"/>
      <c r="G80"/>
      <c r="J80"/>
      <c r="K80"/>
      <c r="L80"/>
      <c r="M80"/>
      <c r="O80"/>
      <c r="P80"/>
      <c r="Q80"/>
      <c r="R80"/>
      <c r="S80"/>
      <c r="T80"/>
      <c r="U80"/>
      <c r="V80"/>
      <c r="Y80"/>
      <c r="Z80"/>
      <c r="AA80"/>
      <c r="AB80"/>
      <c r="AF80"/>
      <c r="AG80"/>
      <c r="AH80"/>
      <c r="AI80"/>
      <c r="AJ80"/>
      <c r="AK80"/>
      <c r="AN80"/>
      <c r="AO80"/>
      <c r="AP80"/>
      <c r="AQ80"/>
      <c r="AR80"/>
      <c r="AS80"/>
      <c r="AV80"/>
      <c r="AW80"/>
      <c r="AX80"/>
      <c r="AY80"/>
      <c r="AZ80"/>
      <c r="BA80"/>
      <c r="BL80"/>
      <c r="BM80"/>
      <c r="BN80"/>
      <c r="BO80"/>
      <c r="BP80"/>
      <c r="BQ80"/>
    </row>
    <row r="81" spans="4:69" x14ac:dyDescent="0.25">
      <c r="D81"/>
      <c r="E81"/>
      <c r="F81"/>
      <c r="G81"/>
      <c r="J81"/>
      <c r="K81"/>
      <c r="L81"/>
      <c r="M81"/>
      <c r="O81"/>
      <c r="P81"/>
      <c r="Q81"/>
      <c r="R81"/>
      <c r="S81"/>
      <c r="T81"/>
      <c r="U81"/>
      <c r="V81"/>
      <c r="Y81"/>
      <c r="Z81"/>
      <c r="AA81"/>
      <c r="AB81"/>
      <c r="AF81"/>
      <c r="AG81"/>
      <c r="AH81"/>
      <c r="AI81"/>
      <c r="AJ81"/>
      <c r="AK81"/>
      <c r="AN81"/>
      <c r="AO81"/>
      <c r="AP81"/>
      <c r="AQ81"/>
      <c r="AR81"/>
      <c r="AS81"/>
      <c r="AV81"/>
      <c r="AW81"/>
      <c r="AX81"/>
      <c r="AY81"/>
      <c r="AZ81"/>
      <c r="BA81"/>
      <c r="BL81"/>
      <c r="BM81"/>
      <c r="BN81"/>
      <c r="BO81"/>
      <c r="BP81"/>
      <c r="BQ81"/>
    </row>
    <row r="82" spans="4:69" x14ac:dyDescent="0.25">
      <c r="D82"/>
      <c r="E82"/>
      <c r="F82"/>
      <c r="G82"/>
      <c r="J82"/>
      <c r="K82"/>
      <c r="L82"/>
      <c r="M82"/>
      <c r="O82"/>
      <c r="P82"/>
      <c r="Q82"/>
      <c r="R82"/>
      <c r="S82"/>
      <c r="T82"/>
      <c r="U82"/>
      <c r="V82"/>
      <c r="Y82"/>
      <c r="Z82"/>
      <c r="AA82"/>
      <c r="AB82"/>
      <c r="AF82"/>
      <c r="AG82"/>
      <c r="AH82"/>
      <c r="AI82"/>
      <c r="AJ82"/>
      <c r="AK82"/>
      <c r="AN82"/>
      <c r="AO82"/>
      <c r="AP82"/>
      <c r="AQ82"/>
      <c r="AR82"/>
      <c r="AS82"/>
      <c r="AV82"/>
      <c r="AW82"/>
      <c r="AX82"/>
      <c r="AY82"/>
      <c r="AZ82"/>
      <c r="BA82"/>
      <c r="BL82"/>
      <c r="BM82"/>
      <c r="BN82"/>
      <c r="BO82"/>
      <c r="BP82"/>
      <c r="BQ82"/>
    </row>
    <row r="83" spans="4:69" x14ac:dyDescent="0.25">
      <c r="D83"/>
      <c r="E83"/>
      <c r="F83"/>
      <c r="G83"/>
      <c r="J83"/>
      <c r="K83"/>
      <c r="L83"/>
      <c r="M83"/>
      <c r="O83"/>
      <c r="P83"/>
      <c r="Q83"/>
      <c r="R83"/>
      <c r="S83"/>
      <c r="T83"/>
      <c r="U83"/>
      <c r="V83"/>
      <c r="Y83"/>
      <c r="Z83"/>
      <c r="AA83"/>
      <c r="AB83"/>
      <c r="AF83"/>
      <c r="AG83"/>
      <c r="AH83"/>
      <c r="AI83"/>
      <c r="AJ83"/>
      <c r="AK83"/>
      <c r="AN83"/>
      <c r="AO83"/>
      <c r="AP83"/>
      <c r="AQ83"/>
      <c r="AR83"/>
      <c r="AS83"/>
      <c r="AV83"/>
      <c r="AW83"/>
      <c r="AX83"/>
      <c r="AY83"/>
      <c r="AZ83"/>
      <c r="BA83"/>
      <c r="BL83"/>
      <c r="BM83"/>
      <c r="BN83"/>
      <c r="BO83"/>
      <c r="BP83"/>
      <c r="BQ83"/>
    </row>
    <row r="84" spans="4:69" x14ac:dyDescent="0.25">
      <c r="D84"/>
      <c r="E84"/>
      <c r="F84"/>
      <c r="G84"/>
      <c r="J84"/>
      <c r="K84"/>
      <c r="L84"/>
      <c r="M84"/>
      <c r="O84"/>
      <c r="P84"/>
      <c r="Q84"/>
      <c r="R84"/>
      <c r="S84"/>
      <c r="T84"/>
      <c r="U84"/>
      <c r="V84"/>
      <c r="Y84"/>
      <c r="Z84"/>
      <c r="AA84"/>
      <c r="AB84"/>
      <c r="AF84"/>
      <c r="AG84"/>
      <c r="AH84"/>
      <c r="AI84"/>
      <c r="AJ84"/>
      <c r="AK84"/>
      <c r="AN84"/>
      <c r="AO84"/>
      <c r="AP84"/>
      <c r="AQ84"/>
      <c r="AR84"/>
      <c r="AS84"/>
      <c r="AV84"/>
      <c r="AW84"/>
      <c r="AX84"/>
      <c r="AY84"/>
      <c r="AZ84"/>
      <c r="BA84"/>
      <c r="BL84"/>
      <c r="BM84"/>
      <c r="BN84"/>
      <c r="BO84"/>
      <c r="BP84"/>
      <c r="BQ84"/>
    </row>
    <row r="85" spans="4:69" x14ac:dyDescent="0.25">
      <c r="D85"/>
      <c r="E85"/>
      <c r="F85"/>
      <c r="G85"/>
      <c r="J85"/>
      <c r="K85"/>
      <c r="L85"/>
      <c r="M85"/>
      <c r="O85"/>
      <c r="P85"/>
      <c r="Q85"/>
      <c r="R85"/>
      <c r="S85"/>
      <c r="T85"/>
      <c r="U85"/>
      <c r="V85"/>
      <c r="Y85"/>
      <c r="Z85"/>
      <c r="AA85"/>
      <c r="AB85"/>
      <c r="AF85"/>
      <c r="AG85"/>
      <c r="AH85"/>
      <c r="AI85"/>
      <c r="AJ85"/>
      <c r="AK85"/>
      <c r="AN85"/>
      <c r="AO85"/>
      <c r="AP85"/>
      <c r="AQ85"/>
      <c r="AR85"/>
      <c r="AS85"/>
      <c r="AV85"/>
      <c r="AW85"/>
      <c r="AX85"/>
      <c r="AY85"/>
      <c r="AZ85"/>
      <c r="BA85"/>
      <c r="BL85"/>
      <c r="BM85"/>
      <c r="BN85"/>
      <c r="BO85"/>
      <c r="BP85"/>
      <c r="BQ85"/>
    </row>
    <row r="86" spans="4:69" x14ac:dyDescent="0.25">
      <c r="D86"/>
      <c r="E86"/>
      <c r="F86"/>
      <c r="G86"/>
      <c r="J86"/>
      <c r="K86"/>
      <c r="L86"/>
      <c r="M86"/>
      <c r="O86"/>
      <c r="P86"/>
      <c r="Q86"/>
      <c r="R86"/>
      <c r="S86"/>
      <c r="T86"/>
      <c r="U86"/>
      <c r="V86"/>
      <c r="Y86"/>
      <c r="Z86"/>
      <c r="AA86"/>
      <c r="AB86"/>
      <c r="AF86"/>
      <c r="AG86"/>
      <c r="AH86"/>
      <c r="AI86"/>
      <c r="AJ86"/>
      <c r="AK86"/>
      <c r="AN86"/>
      <c r="AO86"/>
      <c r="AP86"/>
      <c r="AQ86"/>
      <c r="AR86"/>
      <c r="AS86"/>
      <c r="AV86"/>
      <c r="AW86"/>
      <c r="AX86"/>
      <c r="AY86"/>
      <c r="AZ86"/>
      <c r="BA86"/>
      <c r="BL86"/>
      <c r="BM86"/>
      <c r="BN86"/>
      <c r="BO86"/>
      <c r="BP86"/>
      <c r="BQ86"/>
    </row>
    <row r="87" spans="4:69" x14ac:dyDescent="0.25">
      <c r="D87"/>
      <c r="E87"/>
      <c r="F87"/>
      <c r="G87"/>
      <c r="J87"/>
      <c r="K87"/>
      <c r="L87"/>
      <c r="M87"/>
      <c r="O87"/>
      <c r="P87"/>
      <c r="Q87"/>
      <c r="R87"/>
      <c r="S87"/>
      <c r="T87"/>
      <c r="U87"/>
      <c r="V87"/>
      <c r="Y87"/>
      <c r="Z87"/>
      <c r="AA87"/>
      <c r="AB87"/>
      <c r="AF87"/>
      <c r="AG87"/>
      <c r="AH87"/>
      <c r="AI87"/>
      <c r="AJ87"/>
      <c r="AK87"/>
      <c r="AN87"/>
      <c r="AO87"/>
      <c r="AP87"/>
      <c r="AQ87"/>
      <c r="AR87"/>
      <c r="AS87"/>
      <c r="AV87"/>
      <c r="AW87"/>
      <c r="AX87"/>
      <c r="AY87"/>
      <c r="AZ87"/>
      <c r="BA87"/>
      <c r="BL87"/>
      <c r="BM87"/>
      <c r="BN87"/>
      <c r="BO87"/>
      <c r="BP87"/>
      <c r="BQ87"/>
    </row>
    <row r="88" spans="4:69" x14ac:dyDescent="0.25">
      <c r="D88"/>
      <c r="E88"/>
      <c r="F88"/>
      <c r="G88"/>
      <c r="J88"/>
      <c r="K88"/>
      <c r="L88"/>
      <c r="M88"/>
      <c r="O88"/>
      <c r="P88"/>
      <c r="Q88"/>
      <c r="R88"/>
      <c r="S88"/>
      <c r="T88"/>
      <c r="U88"/>
      <c r="V88"/>
      <c r="Y88"/>
      <c r="Z88"/>
      <c r="AA88"/>
      <c r="AB88"/>
      <c r="AF88"/>
      <c r="AG88"/>
      <c r="AH88"/>
      <c r="AI88"/>
      <c r="AJ88"/>
      <c r="AK88"/>
      <c r="AN88"/>
      <c r="AO88"/>
      <c r="AP88"/>
      <c r="AQ88"/>
      <c r="AR88"/>
      <c r="AS88"/>
      <c r="AV88"/>
      <c r="AW88"/>
      <c r="AX88"/>
      <c r="AY88"/>
      <c r="AZ88"/>
      <c r="BA88"/>
      <c r="BL88"/>
      <c r="BM88"/>
      <c r="BN88"/>
      <c r="BO88"/>
      <c r="BP88"/>
      <c r="BQ88"/>
    </row>
    <row r="89" spans="4:69" x14ac:dyDescent="0.25">
      <c r="D89"/>
      <c r="E89"/>
      <c r="F89"/>
      <c r="G89"/>
      <c r="J89"/>
      <c r="K89"/>
      <c r="L89"/>
      <c r="M89"/>
      <c r="O89"/>
      <c r="P89"/>
      <c r="Q89"/>
      <c r="R89"/>
      <c r="S89"/>
      <c r="T89"/>
      <c r="U89"/>
      <c r="V89"/>
      <c r="Y89"/>
      <c r="Z89"/>
      <c r="AA89"/>
      <c r="AB89"/>
      <c r="AF89"/>
      <c r="AG89"/>
      <c r="AH89"/>
      <c r="AI89"/>
      <c r="AJ89"/>
      <c r="AK89"/>
      <c r="AN89"/>
      <c r="AO89"/>
      <c r="AP89"/>
      <c r="AQ89"/>
      <c r="AR89"/>
      <c r="AS89"/>
      <c r="AV89"/>
      <c r="AW89"/>
      <c r="AX89"/>
      <c r="AY89"/>
      <c r="AZ89"/>
      <c r="BA89"/>
      <c r="BL89"/>
      <c r="BM89"/>
      <c r="BN89"/>
      <c r="BO89"/>
      <c r="BP89"/>
      <c r="BQ89"/>
    </row>
    <row r="90" spans="4:69" x14ac:dyDescent="0.25">
      <c r="D90"/>
      <c r="E90"/>
      <c r="F90"/>
      <c r="G90"/>
      <c r="J90"/>
      <c r="K90"/>
      <c r="L90"/>
      <c r="M90"/>
      <c r="O90"/>
      <c r="P90"/>
      <c r="Q90"/>
      <c r="R90"/>
      <c r="S90"/>
      <c r="T90"/>
      <c r="U90"/>
      <c r="V90"/>
      <c r="Y90"/>
      <c r="Z90"/>
      <c r="AA90"/>
      <c r="AB90"/>
      <c r="AF90"/>
      <c r="AG90"/>
      <c r="AH90"/>
      <c r="AI90"/>
      <c r="AJ90"/>
      <c r="AK90"/>
      <c r="AN90"/>
      <c r="AO90"/>
      <c r="AP90"/>
      <c r="AQ90"/>
      <c r="AR90"/>
      <c r="AS90"/>
      <c r="AV90"/>
      <c r="AW90"/>
      <c r="AX90"/>
      <c r="AY90"/>
      <c r="AZ90"/>
      <c r="BA90"/>
      <c r="BL90"/>
      <c r="BM90"/>
      <c r="BN90"/>
      <c r="BO90"/>
      <c r="BP90"/>
      <c r="BQ90"/>
    </row>
    <row r="91" spans="4:69" x14ac:dyDescent="0.25">
      <c r="D91"/>
      <c r="E91"/>
      <c r="F91"/>
      <c r="G91"/>
      <c r="J91"/>
      <c r="K91"/>
      <c r="L91"/>
      <c r="M91"/>
      <c r="O91"/>
      <c r="P91"/>
      <c r="Q91"/>
      <c r="R91"/>
      <c r="S91"/>
      <c r="T91"/>
      <c r="U91"/>
      <c r="V91"/>
      <c r="Y91"/>
      <c r="Z91"/>
      <c r="AA91"/>
      <c r="AB91"/>
      <c r="AF91"/>
      <c r="AG91"/>
      <c r="AH91"/>
      <c r="AI91"/>
      <c r="AJ91"/>
      <c r="AK91"/>
      <c r="AN91"/>
      <c r="AO91"/>
      <c r="AP91"/>
      <c r="AQ91"/>
      <c r="AR91"/>
      <c r="AS91"/>
      <c r="AV91"/>
      <c r="AW91"/>
      <c r="AX91"/>
      <c r="AY91"/>
      <c r="AZ91"/>
      <c r="BA91"/>
      <c r="BL91"/>
      <c r="BM91"/>
      <c r="BN91"/>
      <c r="BO91"/>
      <c r="BP91"/>
      <c r="BQ91"/>
    </row>
    <row r="92" spans="4:69" x14ac:dyDescent="0.25">
      <c r="D92"/>
      <c r="E92"/>
      <c r="F92"/>
      <c r="G92"/>
      <c r="J92"/>
      <c r="K92"/>
      <c r="L92"/>
      <c r="M92"/>
      <c r="O92"/>
      <c r="P92"/>
      <c r="Q92"/>
      <c r="R92"/>
      <c r="S92"/>
      <c r="T92"/>
      <c r="U92"/>
      <c r="V92"/>
      <c r="Y92"/>
      <c r="Z92"/>
      <c r="AA92"/>
      <c r="AB92"/>
      <c r="AF92"/>
      <c r="AG92"/>
      <c r="AH92"/>
      <c r="AI92"/>
      <c r="AJ92"/>
      <c r="AK92"/>
      <c r="AN92"/>
      <c r="AO92"/>
      <c r="AP92"/>
      <c r="AQ92"/>
      <c r="AR92"/>
      <c r="AS92"/>
      <c r="AV92"/>
      <c r="AW92"/>
      <c r="AX92"/>
      <c r="AY92"/>
      <c r="AZ92"/>
      <c r="BA92"/>
      <c r="BL92"/>
      <c r="BM92"/>
      <c r="BN92"/>
      <c r="BO92"/>
      <c r="BP92"/>
      <c r="BQ92"/>
    </row>
    <row r="93" spans="4:69" x14ac:dyDescent="0.25">
      <c r="D93"/>
      <c r="E93"/>
      <c r="F93"/>
      <c r="G93"/>
      <c r="J93"/>
      <c r="K93"/>
      <c r="L93"/>
      <c r="M93"/>
      <c r="O93"/>
      <c r="P93"/>
      <c r="Q93"/>
      <c r="R93"/>
      <c r="S93"/>
      <c r="T93"/>
      <c r="U93"/>
      <c r="V93"/>
      <c r="Y93"/>
      <c r="Z93"/>
      <c r="AA93"/>
      <c r="AB93"/>
      <c r="AF93"/>
      <c r="AG93"/>
      <c r="AH93"/>
      <c r="AI93"/>
      <c r="AJ93"/>
      <c r="AK93"/>
      <c r="AN93"/>
      <c r="AO93"/>
      <c r="AP93"/>
      <c r="AQ93"/>
      <c r="AR93"/>
      <c r="AS93"/>
      <c r="AV93"/>
      <c r="AW93"/>
      <c r="AX93"/>
      <c r="AY93"/>
      <c r="AZ93"/>
      <c r="BA93"/>
      <c r="BL93"/>
      <c r="BM93"/>
      <c r="BN93"/>
      <c r="BO93"/>
      <c r="BP93"/>
      <c r="BQ93"/>
    </row>
    <row r="94" spans="4:69" x14ac:dyDescent="0.25">
      <c r="D94"/>
      <c r="E94"/>
      <c r="F94"/>
      <c r="G94"/>
      <c r="J94"/>
      <c r="K94"/>
      <c r="L94"/>
      <c r="M94"/>
      <c r="O94"/>
      <c r="P94"/>
      <c r="Q94"/>
      <c r="R94"/>
      <c r="S94"/>
      <c r="T94"/>
      <c r="U94"/>
      <c r="V94"/>
      <c r="Y94"/>
      <c r="Z94"/>
      <c r="AA94"/>
      <c r="AB94"/>
      <c r="AF94"/>
      <c r="AG94"/>
      <c r="AH94"/>
      <c r="AI94"/>
      <c r="AJ94"/>
      <c r="AK94"/>
      <c r="AN94"/>
      <c r="AO94"/>
      <c r="AP94"/>
      <c r="AQ94"/>
      <c r="AR94"/>
      <c r="AS94"/>
      <c r="AV94"/>
      <c r="AW94"/>
      <c r="AX94"/>
      <c r="AY94"/>
      <c r="AZ94"/>
      <c r="BA94"/>
      <c r="BL94"/>
      <c r="BM94"/>
      <c r="BN94"/>
      <c r="BO94"/>
      <c r="BP94"/>
      <c r="BQ94"/>
    </row>
    <row r="95" spans="4:69" x14ac:dyDescent="0.25">
      <c r="D95"/>
      <c r="E95"/>
      <c r="F95"/>
      <c r="G95"/>
      <c r="J95"/>
      <c r="K95"/>
      <c r="L95"/>
      <c r="M95"/>
      <c r="O95"/>
      <c r="P95"/>
      <c r="Q95"/>
      <c r="R95"/>
      <c r="S95"/>
      <c r="T95"/>
      <c r="U95"/>
      <c r="V95"/>
      <c r="Y95"/>
      <c r="Z95"/>
      <c r="AA95"/>
      <c r="AB95"/>
      <c r="AF95"/>
      <c r="AG95"/>
      <c r="AH95"/>
      <c r="AI95"/>
      <c r="AJ95"/>
      <c r="AK95"/>
      <c r="AN95"/>
      <c r="AO95"/>
      <c r="AP95"/>
      <c r="AQ95"/>
      <c r="AR95"/>
      <c r="AS95"/>
      <c r="AV95"/>
      <c r="AW95"/>
      <c r="AX95"/>
      <c r="AY95"/>
      <c r="AZ95"/>
      <c r="BA95"/>
      <c r="BL95"/>
      <c r="BM95"/>
      <c r="BN95"/>
      <c r="BO95"/>
      <c r="BP95"/>
      <c r="BQ95"/>
    </row>
    <row r="96" spans="4:69" x14ac:dyDescent="0.25">
      <c r="D96"/>
      <c r="E96"/>
      <c r="F96"/>
      <c r="G96"/>
      <c r="J96"/>
      <c r="K96"/>
      <c r="L96"/>
      <c r="M96"/>
      <c r="O96"/>
      <c r="P96"/>
      <c r="Q96"/>
      <c r="R96"/>
      <c r="S96"/>
      <c r="T96"/>
      <c r="U96"/>
      <c r="V96"/>
      <c r="Y96"/>
      <c r="Z96"/>
      <c r="AA96"/>
      <c r="AB96"/>
      <c r="AF96"/>
      <c r="AG96"/>
      <c r="AH96"/>
      <c r="AI96"/>
      <c r="AJ96"/>
      <c r="AK96"/>
      <c r="AN96"/>
      <c r="AO96"/>
      <c r="AP96"/>
      <c r="AQ96"/>
      <c r="AR96"/>
      <c r="AS96"/>
      <c r="AV96"/>
      <c r="AW96"/>
      <c r="AX96"/>
      <c r="AY96"/>
      <c r="AZ96"/>
      <c r="BA96"/>
      <c r="BL96"/>
      <c r="BM96"/>
      <c r="BN96"/>
      <c r="BO96"/>
      <c r="BP96"/>
      <c r="BQ96"/>
    </row>
    <row r="97" spans="4:69" x14ac:dyDescent="0.25">
      <c r="D97"/>
      <c r="E97"/>
      <c r="F97"/>
      <c r="G97"/>
      <c r="J97"/>
      <c r="K97"/>
      <c r="L97"/>
      <c r="M97"/>
      <c r="O97"/>
      <c r="P97"/>
      <c r="Q97"/>
      <c r="R97"/>
      <c r="S97"/>
      <c r="T97"/>
      <c r="U97"/>
      <c r="V97"/>
      <c r="Y97"/>
      <c r="Z97"/>
      <c r="AA97"/>
      <c r="AB97"/>
      <c r="AF97"/>
      <c r="AG97"/>
      <c r="AH97"/>
      <c r="AI97"/>
      <c r="AJ97"/>
      <c r="AK97"/>
      <c r="AN97"/>
      <c r="AO97"/>
      <c r="AP97"/>
      <c r="AQ97"/>
      <c r="AR97"/>
      <c r="AS97"/>
      <c r="AV97"/>
      <c r="AW97"/>
      <c r="AX97"/>
      <c r="AY97"/>
      <c r="AZ97"/>
      <c r="BA97"/>
      <c r="BL97"/>
      <c r="BM97"/>
      <c r="BN97"/>
      <c r="BO97"/>
      <c r="BP97"/>
      <c r="BQ97"/>
    </row>
    <row r="98" spans="4:69" x14ac:dyDescent="0.25">
      <c r="D98"/>
      <c r="E98"/>
      <c r="F98"/>
      <c r="G98"/>
      <c r="J98"/>
      <c r="K98"/>
      <c r="L98"/>
      <c r="M98"/>
      <c r="O98"/>
      <c r="P98"/>
      <c r="Q98"/>
      <c r="R98"/>
      <c r="S98"/>
      <c r="T98"/>
      <c r="U98"/>
      <c r="V98"/>
      <c r="Y98"/>
      <c r="Z98"/>
      <c r="AA98"/>
      <c r="AB98"/>
      <c r="AF98"/>
      <c r="AG98"/>
      <c r="AH98"/>
      <c r="AI98"/>
      <c r="AJ98"/>
      <c r="AK98"/>
      <c r="AN98"/>
      <c r="AO98"/>
      <c r="AP98"/>
      <c r="AQ98"/>
      <c r="AR98"/>
      <c r="AS98"/>
      <c r="AV98"/>
      <c r="AW98"/>
      <c r="AX98"/>
      <c r="AY98"/>
      <c r="AZ98"/>
      <c r="BA98"/>
      <c r="BL98"/>
      <c r="BM98"/>
      <c r="BN98"/>
      <c r="BO98"/>
      <c r="BP98"/>
      <c r="BQ98"/>
    </row>
    <row r="99" spans="4:69" x14ac:dyDescent="0.25">
      <c r="D99"/>
      <c r="E99"/>
      <c r="F99"/>
      <c r="G99"/>
      <c r="J99"/>
      <c r="K99"/>
      <c r="L99"/>
      <c r="M99"/>
      <c r="O99"/>
      <c r="P99"/>
      <c r="Q99"/>
      <c r="R99"/>
      <c r="S99"/>
      <c r="T99"/>
      <c r="U99"/>
      <c r="V99"/>
      <c r="Y99"/>
      <c r="Z99"/>
      <c r="AA99"/>
      <c r="AB99"/>
      <c r="AF99"/>
      <c r="AG99"/>
      <c r="AH99"/>
      <c r="AI99"/>
      <c r="AJ99"/>
      <c r="AK99"/>
      <c r="AN99"/>
      <c r="AO99"/>
      <c r="AP99"/>
      <c r="AQ99"/>
      <c r="AR99"/>
      <c r="AS99"/>
      <c r="AV99"/>
      <c r="AW99"/>
      <c r="AX99"/>
      <c r="AY99"/>
      <c r="AZ99"/>
      <c r="BA99"/>
      <c r="BL99"/>
      <c r="BM99"/>
      <c r="BN99"/>
      <c r="BO99"/>
      <c r="BP99"/>
      <c r="BQ99"/>
    </row>
    <row r="100" spans="4:69" x14ac:dyDescent="0.25">
      <c r="D100"/>
      <c r="E100"/>
      <c r="F100"/>
      <c r="G100"/>
      <c r="J100"/>
      <c r="K100"/>
      <c r="L100"/>
      <c r="M100"/>
      <c r="O100"/>
      <c r="P100"/>
      <c r="Q100"/>
      <c r="R100"/>
      <c r="S100"/>
      <c r="T100"/>
      <c r="U100"/>
      <c r="V100"/>
      <c r="Y100"/>
      <c r="Z100"/>
      <c r="AA100"/>
      <c r="AB100"/>
      <c r="AF100"/>
      <c r="AG100"/>
      <c r="AH100"/>
      <c r="AI100"/>
      <c r="AJ100"/>
      <c r="AK100"/>
      <c r="AN100"/>
      <c r="AO100"/>
      <c r="AP100"/>
      <c r="AQ100"/>
      <c r="AR100"/>
      <c r="AS100"/>
      <c r="AV100"/>
      <c r="AW100"/>
      <c r="AX100"/>
      <c r="AY100"/>
      <c r="AZ100"/>
      <c r="BA100"/>
      <c r="BL100"/>
      <c r="BM100"/>
      <c r="BN100"/>
      <c r="BO100"/>
      <c r="BP100"/>
      <c r="BQ100"/>
    </row>
    <row r="101" spans="4:69" x14ac:dyDescent="0.25">
      <c r="D101"/>
      <c r="E101"/>
      <c r="F101"/>
      <c r="G101"/>
      <c r="J101"/>
      <c r="K101"/>
      <c r="L101"/>
      <c r="M101"/>
      <c r="O101"/>
      <c r="P101"/>
      <c r="Q101"/>
      <c r="R101"/>
      <c r="S101"/>
      <c r="T101"/>
      <c r="U101"/>
      <c r="V101"/>
      <c r="Y101"/>
      <c r="Z101"/>
      <c r="AA101"/>
      <c r="AB101"/>
      <c r="AF101"/>
      <c r="AG101"/>
      <c r="AH101"/>
      <c r="AI101"/>
      <c r="AJ101"/>
      <c r="AK101"/>
      <c r="AN101"/>
      <c r="AO101"/>
      <c r="AP101"/>
      <c r="AQ101"/>
      <c r="AR101"/>
      <c r="AS101"/>
      <c r="AV101"/>
      <c r="AW101"/>
      <c r="AX101"/>
      <c r="AY101"/>
      <c r="AZ101"/>
      <c r="BA101"/>
      <c r="BL101"/>
      <c r="BM101"/>
      <c r="BN101"/>
      <c r="BO101"/>
      <c r="BP101"/>
      <c r="BQ101"/>
    </row>
    <row r="102" spans="4:69" x14ac:dyDescent="0.25">
      <c r="D102"/>
      <c r="E102"/>
      <c r="F102"/>
      <c r="G102"/>
      <c r="J102"/>
      <c r="K102"/>
      <c r="L102"/>
      <c r="M102"/>
      <c r="O102"/>
      <c r="P102"/>
      <c r="Q102"/>
      <c r="R102"/>
      <c r="S102"/>
      <c r="T102"/>
      <c r="U102"/>
      <c r="V102"/>
      <c r="Y102"/>
      <c r="Z102"/>
      <c r="AA102"/>
      <c r="AB102"/>
      <c r="AF102"/>
      <c r="AG102"/>
      <c r="AH102"/>
      <c r="AI102"/>
      <c r="AJ102"/>
      <c r="AK102"/>
      <c r="AN102"/>
      <c r="AO102"/>
      <c r="AP102"/>
      <c r="AQ102"/>
      <c r="AR102"/>
      <c r="AS102"/>
      <c r="AV102"/>
      <c r="AW102"/>
      <c r="AX102"/>
      <c r="AY102"/>
      <c r="AZ102"/>
      <c r="BA102"/>
      <c r="BL102"/>
      <c r="BM102"/>
      <c r="BN102"/>
      <c r="BO102"/>
      <c r="BP102"/>
      <c r="BQ102"/>
    </row>
    <row r="103" spans="4:69" x14ac:dyDescent="0.25">
      <c r="D103"/>
      <c r="E103"/>
      <c r="F103"/>
      <c r="G103"/>
      <c r="J103"/>
      <c r="K103"/>
      <c r="L103"/>
      <c r="M103"/>
      <c r="O103"/>
      <c r="P103"/>
      <c r="Q103"/>
      <c r="R103"/>
      <c r="S103"/>
      <c r="T103"/>
      <c r="U103"/>
      <c r="V103"/>
      <c r="Y103"/>
      <c r="Z103"/>
      <c r="AA103"/>
      <c r="AB103"/>
      <c r="AF103"/>
      <c r="AG103"/>
      <c r="AH103"/>
      <c r="AI103"/>
      <c r="AJ103"/>
      <c r="AK103"/>
      <c r="AN103"/>
      <c r="AO103"/>
      <c r="AP103"/>
      <c r="AQ103"/>
      <c r="AR103"/>
      <c r="AS103"/>
      <c r="AV103"/>
      <c r="AW103"/>
      <c r="AX103"/>
      <c r="AY103"/>
      <c r="AZ103"/>
      <c r="BA103"/>
      <c r="BL103"/>
      <c r="BM103"/>
      <c r="BN103"/>
      <c r="BO103"/>
      <c r="BP103"/>
      <c r="BQ103"/>
    </row>
    <row r="104" spans="4:69" x14ac:dyDescent="0.25">
      <c r="D104"/>
      <c r="E104"/>
      <c r="F104"/>
      <c r="G104"/>
      <c r="J104"/>
      <c r="K104"/>
      <c r="L104"/>
      <c r="M104"/>
      <c r="O104"/>
      <c r="P104"/>
      <c r="Q104"/>
      <c r="R104"/>
      <c r="S104"/>
      <c r="T104"/>
      <c r="U104"/>
      <c r="V104"/>
      <c r="Y104"/>
      <c r="Z104"/>
      <c r="AA104"/>
      <c r="AB104"/>
      <c r="AF104"/>
      <c r="AG104"/>
      <c r="AH104"/>
      <c r="AI104"/>
      <c r="AJ104"/>
      <c r="AK104"/>
      <c r="AN104"/>
      <c r="AO104"/>
      <c r="AP104"/>
      <c r="AQ104"/>
      <c r="AR104"/>
      <c r="AS104"/>
      <c r="AV104"/>
      <c r="AW104"/>
      <c r="AX104"/>
      <c r="AY104"/>
      <c r="AZ104"/>
      <c r="BA104"/>
      <c r="BL104"/>
      <c r="BM104"/>
      <c r="BN104"/>
      <c r="BO104"/>
      <c r="BP104"/>
      <c r="BQ104"/>
    </row>
    <row r="105" spans="4:69" x14ac:dyDescent="0.25">
      <c r="D105"/>
      <c r="E105"/>
      <c r="F105"/>
      <c r="G105"/>
      <c r="J105"/>
      <c r="K105"/>
      <c r="L105"/>
      <c r="M105"/>
      <c r="O105"/>
      <c r="P105"/>
      <c r="Q105"/>
      <c r="R105"/>
      <c r="S105"/>
      <c r="T105"/>
      <c r="U105"/>
      <c r="V105"/>
      <c r="Y105"/>
      <c r="Z105"/>
      <c r="AA105"/>
      <c r="AB105"/>
      <c r="AF105"/>
      <c r="AG105"/>
      <c r="AH105"/>
      <c r="AI105"/>
      <c r="AJ105"/>
      <c r="AK105"/>
      <c r="AN105"/>
      <c r="AO105"/>
      <c r="AP105"/>
      <c r="AQ105"/>
      <c r="AR105"/>
      <c r="AS105"/>
      <c r="AV105"/>
      <c r="AW105"/>
      <c r="AX105"/>
      <c r="AY105"/>
      <c r="AZ105"/>
      <c r="BA105"/>
      <c r="BL105"/>
      <c r="BM105"/>
      <c r="BN105"/>
      <c r="BO105"/>
      <c r="BP105"/>
      <c r="BQ105"/>
    </row>
    <row r="106" spans="4:69" x14ac:dyDescent="0.25">
      <c r="D106"/>
      <c r="E106"/>
      <c r="F106"/>
      <c r="G106"/>
      <c r="J106"/>
      <c r="K106"/>
      <c r="L106"/>
      <c r="M106"/>
      <c r="O106"/>
      <c r="P106"/>
      <c r="Q106"/>
      <c r="R106"/>
      <c r="S106"/>
      <c r="T106"/>
      <c r="U106"/>
      <c r="V106"/>
      <c r="Y106"/>
      <c r="Z106"/>
      <c r="AA106"/>
      <c r="AB106"/>
      <c r="AF106"/>
      <c r="AG106"/>
      <c r="AH106"/>
      <c r="AI106"/>
      <c r="AJ106"/>
      <c r="AK106"/>
      <c r="AN106"/>
      <c r="AO106"/>
      <c r="AP106"/>
      <c r="AQ106"/>
      <c r="AR106"/>
      <c r="AS106"/>
      <c r="AV106"/>
      <c r="AW106"/>
      <c r="AX106"/>
      <c r="AY106"/>
      <c r="AZ106"/>
      <c r="BA106"/>
      <c r="BL106"/>
      <c r="BM106"/>
      <c r="BN106"/>
      <c r="BO106"/>
      <c r="BP106"/>
      <c r="BQ106"/>
    </row>
    <row r="107" spans="4:69" x14ac:dyDescent="0.25">
      <c r="D107"/>
      <c r="E107"/>
      <c r="F107"/>
      <c r="G107"/>
      <c r="J107"/>
      <c r="K107"/>
      <c r="L107"/>
      <c r="M107"/>
      <c r="O107"/>
      <c r="P107"/>
      <c r="Q107"/>
      <c r="R107"/>
      <c r="S107"/>
      <c r="T107"/>
      <c r="U107"/>
      <c r="V107"/>
      <c r="Y107"/>
      <c r="Z107"/>
      <c r="AA107"/>
      <c r="AB107"/>
      <c r="AF107"/>
      <c r="AG107"/>
      <c r="AH107"/>
      <c r="AI107"/>
      <c r="AJ107"/>
      <c r="AK107"/>
      <c r="AN107"/>
      <c r="AO107"/>
      <c r="AP107"/>
      <c r="AQ107"/>
      <c r="AR107"/>
      <c r="AS107"/>
      <c r="AV107"/>
      <c r="AW107"/>
      <c r="AX107"/>
      <c r="AY107"/>
      <c r="AZ107"/>
      <c r="BA107"/>
      <c r="BL107"/>
      <c r="BM107"/>
      <c r="BN107"/>
      <c r="BO107"/>
      <c r="BP107"/>
      <c r="BQ107"/>
    </row>
    <row r="108" spans="4:69" x14ac:dyDescent="0.25">
      <c r="D108"/>
      <c r="E108"/>
      <c r="F108"/>
      <c r="G108"/>
      <c r="J108"/>
      <c r="K108"/>
      <c r="L108"/>
      <c r="M108"/>
      <c r="O108"/>
      <c r="P108"/>
      <c r="Q108"/>
      <c r="R108"/>
      <c r="S108"/>
      <c r="T108"/>
      <c r="U108"/>
      <c r="V108"/>
      <c r="Y108"/>
      <c r="Z108"/>
      <c r="AA108"/>
      <c r="AB108"/>
      <c r="AF108"/>
      <c r="AG108"/>
      <c r="AH108"/>
      <c r="AI108"/>
      <c r="AJ108"/>
      <c r="AK108"/>
      <c r="AN108"/>
      <c r="AO108"/>
      <c r="AP108"/>
      <c r="AQ108"/>
      <c r="AR108"/>
      <c r="AS108"/>
      <c r="AV108"/>
      <c r="AW108"/>
      <c r="AX108"/>
      <c r="AY108"/>
      <c r="AZ108"/>
      <c r="BA108"/>
      <c r="BL108"/>
      <c r="BM108"/>
      <c r="BN108"/>
      <c r="BO108"/>
      <c r="BP108"/>
      <c r="BQ108"/>
    </row>
    <row r="109" spans="4:69" x14ac:dyDescent="0.25">
      <c r="D109"/>
      <c r="E109"/>
      <c r="F109"/>
      <c r="G109"/>
      <c r="J109"/>
      <c r="K109"/>
      <c r="L109"/>
      <c r="M109"/>
      <c r="O109"/>
      <c r="P109"/>
      <c r="Q109"/>
      <c r="R109"/>
      <c r="S109"/>
      <c r="T109"/>
      <c r="U109"/>
      <c r="V109"/>
      <c r="Y109"/>
      <c r="Z109"/>
      <c r="AA109"/>
      <c r="AB109"/>
      <c r="AF109"/>
      <c r="AG109"/>
      <c r="AH109"/>
      <c r="AI109"/>
      <c r="AJ109"/>
      <c r="AK109"/>
      <c r="AN109"/>
      <c r="AO109"/>
      <c r="AP109"/>
      <c r="AQ109"/>
      <c r="AR109"/>
      <c r="AS109"/>
      <c r="AV109"/>
      <c r="AW109"/>
      <c r="AX109"/>
      <c r="AY109"/>
      <c r="AZ109"/>
      <c r="BA109"/>
      <c r="BL109"/>
      <c r="BM109"/>
      <c r="BN109"/>
      <c r="BO109"/>
      <c r="BP109"/>
      <c r="BQ109"/>
    </row>
    <row r="110" spans="4:69" x14ac:dyDescent="0.25">
      <c r="D110"/>
      <c r="E110"/>
      <c r="F110"/>
      <c r="G110"/>
      <c r="J110"/>
      <c r="K110"/>
      <c r="L110"/>
      <c r="M110"/>
      <c r="O110"/>
      <c r="P110"/>
      <c r="Q110"/>
      <c r="R110"/>
      <c r="S110"/>
      <c r="T110"/>
      <c r="U110"/>
      <c r="V110"/>
      <c r="Y110"/>
      <c r="Z110"/>
      <c r="AA110"/>
      <c r="AB110"/>
      <c r="AF110"/>
      <c r="AG110"/>
      <c r="AH110"/>
      <c r="AI110"/>
      <c r="AJ110"/>
      <c r="AK110"/>
      <c r="AN110"/>
      <c r="AO110"/>
      <c r="AP110"/>
      <c r="AQ110"/>
      <c r="AR110"/>
      <c r="AS110"/>
      <c r="AV110"/>
      <c r="AW110"/>
      <c r="AX110"/>
      <c r="AY110"/>
      <c r="AZ110"/>
      <c r="BA110"/>
      <c r="BL110"/>
      <c r="BM110"/>
      <c r="BN110"/>
      <c r="BO110"/>
      <c r="BP110"/>
      <c r="BQ110"/>
    </row>
    <row r="111" spans="4:69" x14ac:dyDescent="0.25">
      <c r="D111"/>
      <c r="E111"/>
      <c r="F111"/>
      <c r="G111"/>
      <c r="J111"/>
      <c r="K111"/>
      <c r="L111"/>
      <c r="M111"/>
      <c r="O111"/>
      <c r="P111"/>
      <c r="Q111"/>
      <c r="R111"/>
      <c r="S111"/>
      <c r="T111"/>
      <c r="U111"/>
      <c r="V111"/>
      <c r="Y111"/>
      <c r="Z111"/>
      <c r="AA111"/>
      <c r="AB111"/>
      <c r="AF111"/>
      <c r="AG111"/>
      <c r="AH111"/>
      <c r="AI111"/>
      <c r="AJ111"/>
      <c r="AK111"/>
      <c r="AN111"/>
      <c r="AO111"/>
      <c r="AP111"/>
      <c r="AQ111"/>
      <c r="AR111"/>
      <c r="AS111"/>
      <c r="AV111"/>
      <c r="AW111"/>
      <c r="AX111"/>
      <c r="AY111"/>
      <c r="AZ111"/>
      <c r="BA111"/>
      <c r="BL111"/>
      <c r="BM111"/>
      <c r="BN111"/>
      <c r="BO111"/>
      <c r="BP111"/>
      <c r="BQ111"/>
    </row>
    <row r="112" spans="4:69" x14ac:dyDescent="0.25">
      <c r="D112"/>
      <c r="E112"/>
      <c r="F112"/>
      <c r="G112"/>
      <c r="J112"/>
      <c r="K112"/>
      <c r="L112"/>
      <c r="M112"/>
      <c r="O112"/>
      <c r="P112"/>
      <c r="Q112"/>
      <c r="R112"/>
      <c r="S112"/>
      <c r="T112"/>
      <c r="U112"/>
      <c r="V112"/>
      <c r="Y112"/>
      <c r="Z112"/>
      <c r="AA112"/>
      <c r="AB112"/>
      <c r="AF112"/>
      <c r="AG112"/>
      <c r="AH112"/>
      <c r="AI112"/>
      <c r="AJ112"/>
      <c r="AK112"/>
      <c r="AN112"/>
      <c r="AO112"/>
      <c r="AP112"/>
      <c r="AQ112"/>
      <c r="AR112"/>
      <c r="AS112"/>
      <c r="AV112"/>
      <c r="AW112"/>
      <c r="AX112"/>
      <c r="AY112"/>
      <c r="AZ112"/>
      <c r="BA112"/>
      <c r="BL112"/>
      <c r="BM112"/>
      <c r="BN112"/>
      <c r="BO112"/>
      <c r="BP112"/>
      <c r="BQ112"/>
    </row>
    <row r="113" spans="4:69" x14ac:dyDescent="0.25">
      <c r="D113"/>
      <c r="E113"/>
      <c r="F113"/>
      <c r="G113"/>
      <c r="J113"/>
      <c r="K113"/>
      <c r="L113"/>
      <c r="M113"/>
      <c r="O113"/>
      <c r="P113"/>
      <c r="Q113"/>
      <c r="R113"/>
      <c r="S113"/>
      <c r="T113"/>
      <c r="U113"/>
      <c r="V113"/>
      <c r="Y113"/>
      <c r="Z113"/>
      <c r="AA113"/>
      <c r="AB113"/>
      <c r="AF113"/>
      <c r="AG113"/>
      <c r="AH113"/>
      <c r="AI113"/>
      <c r="AJ113"/>
      <c r="AK113"/>
      <c r="AN113"/>
      <c r="AO113"/>
      <c r="AP113"/>
      <c r="AQ113"/>
      <c r="AR113"/>
      <c r="AS113"/>
      <c r="AV113"/>
      <c r="AW113"/>
      <c r="AX113"/>
      <c r="AY113"/>
      <c r="AZ113"/>
      <c r="BA113"/>
      <c r="BL113"/>
      <c r="BM113"/>
      <c r="BN113"/>
      <c r="BO113"/>
      <c r="BP113"/>
      <c r="BQ113"/>
    </row>
    <row r="114" spans="4:69" x14ac:dyDescent="0.25">
      <c r="D114"/>
      <c r="E114"/>
      <c r="F114"/>
      <c r="G114"/>
      <c r="J114"/>
      <c r="K114"/>
      <c r="L114"/>
      <c r="M114"/>
      <c r="O114"/>
      <c r="P114"/>
      <c r="Q114"/>
      <c r="R114"/>
      <c r="S114"/>
      <c r="T114"/>
      <c r="U114"/>
      <c r="V114"/>
      <c r="Y114"/>
      <c r="Z114"/>
      <c r="AA114"/>
      <c r="AB114"/>
      <c r="AF114"/>
      <c r="AG114"/>
      <c r="AH114"/>
      <c r="AI114"/>
      <c r="AJ114"/>
      <c r="AK114"/>
      <c r="AN114"/>
      <c r="AO114"/>
      <c r="AP114"/>
      <c r="AQ114"/>
      <c r="AR114"/>
      <c r="AS114"/>
      <c r="AV114"/>
      <c r="AW114"/>
      <c r="AX114"/>
      <c r="AY114"/>
      <c r="AZ114"/>
      <c r="BA114"/>
      <c r="BL114"/>
      <c r="BM114"/>
      <c r="BN114"/>
      <c r="BO114"/>
      <c r="BP114"/>
      <c r="BQ114"/>
    </row>
    <row r="115" spans="4:69" x14ac:dyDescent="0.25">
      <c r="D115"/>
      <c r="E115"/>
      <c r="F115"/>
      <c r="G115"/>
      <c r="J115"/>
      <c r="K115"/>
      <c r="L115"/>
      <c r="M115"/>
      <c r="O115"/>
      <c r="P115"/>
      <c r="Q115"/>
      <c r="R115"/>
      <c r="S115"/>
      <c r="T115"/>
      <c r="U115"/>
      <c r="V115"/>
      <c r="Y115"/>
      <c r="Z115"/>
      <c r="AA115"/>
      <c r="AB115"/>
      <c r="AF115"/>
      <c r="AG115"/>
      <c r="AH115"/>
      <c r="AI115"/>
      <c r="AJ115"/>
      <c r="AK115"/>
      <c r="AN115"/>
      <c r="AO115"/>
      <c r="AP115"/>
      <c r="AQ115"/>
      <c r="AR115"/>
      <c r="AS115"/>
      <c r="AV115"/>
      <c r="AW115"/>
      <c r="AX115"/>
      <c r="AY115"/>
      <c r="AZ115"/>
      <c r="BA115"/>
      <c r="BL115"/>
      <c r="BM115"/>
      <c r="BN115"/>
      <c r="BO115"/>
      <c r="BP115"/>
      <c r="BQ115"/>
    </row>
    <row r="116" spans="4:69" x14ac:dyDescent="0.25">
      <c r="D116"/>
      <c r="E116"/>
      <c r="F116"/>
      <c r="G116"/>
      <c r="J116"/>
      <c r="K116"/>
      <c r="L116"/>
      <c r="M116"/>
      <c r="O116"/>
      <c r="P116"/>
      <c r="Q116"/>
      <c r="R116"/>
      <c r="S116"/>
      <c r="T116"/>
      <c r="U116"/>
      <c r="V116"/>
      <c r="Y116"/>
      <c r="Z116"/>
      <c r="AA116"/>
      <c r="AB116"/>
      <c r="AF116"/>
      <c r="AG116"/>
      <c r="AH116"/>
      <c r="AI116"/>
      <c r="AJ116"/>
      <c r="AK116"/>
      <c r="AN116"/>
      <c r="AO116"/>
      <c r="AP116"/>
      <c r="AQ116"/>
      <c r="AR116"/>
      <c r="AS116"/>
      <c r="AV116"/>
      <c r="AW116"/>
      <c r="AX116"/>
      <c r="AY116"/>
      <c r="AZ116"/>
      <c r="BA116"/>
      <c r="BL116"/>
      <c r="BM116"/>
      <c r="BN116"/>
      <c r="BO116"/>
      <c r="BP116"/>
      <c r="BQ116"/>
    </row>
    <row r="117" spans="4:69" x14ac:dyDescent="0.25">
      <c r="D117"/>
      <c r="E117"/>
      <c r="F117"/>
      <c r="G117"/>
      <c r="J117"/>
      <c r="K117"/>
      <c r="L117"/>
      <c r="M117"/>
      <c r="O117"/>
      <c r="P117"/>
      <c r="Q117"/>
      <c r="R117"/>
      <c r="S117"/>
      <c r="T117"/>
      <c r="U117"/>
      <c r="V117"/>
      <c r="Y117"/>
      <c r="Z117"/>
      <c r="AA117"/>
      <c r="AB117"/>
      <c r="AF117"/>
      <c r="AG117"/>
      <c r="AH117"/>
      <c r="AI117"/>
      <c r="AJ117"/>
      <c r="AK117"/>
      <c r="AN117"/>
      <c r="AO117"/>
      <c r="AP117"/>
      <c r="AQ117"/>
      <c r="AR117"/>
      <c r="AS117"/>
      <c r="AV117"/>
      <c r="AW117"/>
      <c r="AX117"/>
      <c r="AY117"/>
      <c r="AZ117"/>
      <c r="BA117"/>
      <c r="BL117"/>
      <c r="BM117"/>
      <c r="BN117"/>
      <c r="BO117"/>
      <c r="BP117"/>
      <c r="BQ117"/>
    </row>
    <row r="118" spans="4:69" x14ac:dyDescent="0.25">
      <c r="D118"/>
      <c r="E118"/>
      <c r="F118"/>
      <c r="G118"/>
      <c r="J118"/>
      <c r="K118"/>
      <c r="L118"/>
      <c r="M118"/>
      <c r="O118"/>
      <c r="P118"/>
      <c r="Q118"/>
      <c r="R118"/>
      <c r="S118"/>
      <c r="T118"/>
      <c r="U118"/>
      <c r="V118"/>
      <c r="Y118"/>
      <c r="Z118"/>
      <c r="AA118"/>
      <c r="AB118"/>
      <c r="AF118"/>
      <c r="AG118"/>
      <c r="AH118"/>
      <c r="AI118"/>
      <c r="AJ118"/>
      <c r="AK118"/>
      <c r="AN118"/>
      <c r="AO118"/>
      <c r="AP118"/>
      <c r="AQ118"/>
      <c r="AR118"/>
      <c r="AS118"/>
      <c r="AV118"/>
      <c r="AW118"/>
      <c r="AX118"/>
      <c r="AY118"/>
      <c r="AZ118"/>
      <c r="BA118"/>
      <c r="BL118"/>
      <c r="BM118"/>
      <c r="BN118"/>
      <c r="BO118"/>
      <c r="BP118"/>
      <c r="BQ118"/>
    </row>
    <row r="119" spans="4:69" x14ac:dyDescent="0.25">
      <c r="D119"/>
      <c r="E119"/>
      <c r="F119"/>
      <c r="G119"/>
      <c r="J119"/>
      <c r="K119"/>
      <c r="L119"/>
      <c r="M119"/>
      <c r="O119"/>
      <c r="P119"/>
      <c r="Q119"/>
      <c r="R119"/>
      <c r="S119"/>
      <c r="T119"/>
      <c r="U119"/>
      <c r="V119"/>
      <c r="Y119"/>
      <c r="Z119"/>
      <c r="AA119"/>
      <c r="AB119"/>
      <c r="AF119"/>
      <c r="AG119"/>
      <c r="AH119"/>
      <c r="AI119"/>
      <c r="AJ119"/>
      <c r="AK119"/>
      <c r="AN119"/>
      <c r="AO119"/>
      <c r="AP119"/>
      <c r="AQ119"/>
      <c r="AR119"/>
      <c r="AS119"/>
      <c r="AV119"/>
      <c r="AW119"/>
      <c r="AX119"/>
      <c r="AY119"/>
      <c r="AZ119"/>
      <c r="BA119"/>
      <c r="BL119"/>
      <c r="BM119"/>
      <c r="BN119"/>
      <c r="BO119"/>
      <c r="BP119"/>
      <c r="BQ119"/>
    </row>
    <row r="120" spans="4:69" x14ac:dyDescent="0.25">
      <c r="D120"/>
      <c r="E120"/>
      <c r="F120"/>
      <c r="G120"/>
      <c r="J120"/>
      <c r="K120"/>
      <c r="L120"/>
      <c r="M120"/>
      <c r="O120"/>
      <c r="P120"/>
      <c r="Q120"/>
      <c r="R120"/>
      <c r="S120"/>
      <c r="T120"/>
      <c r="U120"/>
      <c r="V120"/>
      <c r="Y120"/>
      <c r="Z120"/>
      <c r="AA120"/>
      <c r="AB120"/>
      <c r="AF120"/>
      <c r="AG120"/>
      <c r="AH120"/>
      <c r="AI120"/>
      <c r="AJ120"/>
      <c r="AK120"/>
      <c r="AN120"/>
      <c r="AO120"/>
      <c r="AP120"/>
      <c r="AQ120"/>
      <c r="AR120"/>
      <c r="AS120"/>
      <c r="AV120"/>
      <c r="AW120"/>
      <c r="AX120"/>
      <c r="AY120"/>
      <c r="AZ120"/>
      <c r="BA120"/>
      <c r="BL120"/>
      <c r="BM120"/>
      <c r="BN120"/>
      <c r="BO120"/>
      <c r="BP120"/>
      <c r="BQ120"/>
    </row>
    <row r="121" spans="4:69" x14ac:dyDescent="0.25">
      <c r="D121"/>
      <c r="E121"/>
      <c r="F121"/>
      <c r="G121"/>
      <c r="J121"/>
      <c r="K121"/>
      <c r="L121"/>
      <c r="M121"/>
      <c r="O121"/>
      <c r="P121"/>
      <c r="Q121"/>
      <c r="R121"/>
      <c r="S121"/>
      <c r="T121"/>
      <c r="U121"/>
      <c r="V121"/>
      <c r="Y121"/>
      <c r="Z121"/>
      <c r="AA121"/>
      <c r="AB121"/>
      <c r="AF121"/>
      <c r="AG121"/>
      <c r="AH121"/>
      <c r="AI121"/>
      <c r="AJ121"/>
      <c r="AK121"/>
      <c r="AN121"/>
      <c r="AO121"/>
      <c r="AP121"/>
      <c r="AQ121"/>
      <c r="AR121"/>
      <c r="AS121"/>
      <c r="AV121"/>
      <c r="AW121"/>
      <c r="AX121"/>
      <c r="AY121"/>
      <c r="AZ121"/>
      <c r="BA121"/>
      <c r="BL121"/>
      <c r="BM121"/>
      <c r="BN121"/>
      <c r="BO121"/>
      <c r="BP121"/>
      <c r="BQ121"/>
    </row>
    <row r="122" spans="4:69" x14ac:dyDescent="0.25">
      <c r="D122"/>
      <c r="E122"/>
      <c r="F122"/>
      <c r="G122"/>
      <c r="J122"/>
      <c r="K122"/>
      <c r="L122"/>
      <c r="M122"/>
      <c r="O122"/>
      <c r="P122"/>
      <c r="Q122"/>
      <c r="R122"/>
      <c r="S122"/>
      <c r="T122"/>
      <c r="U122"/>
      <c r="V122"/>
      <c r="Y122"/>
      <c r="Z122"/>
      <c r="AA122"/>
      <c r="AB122"/>
      <c r="AF122"/>
      <c r="AG122"/>
      <c r="AH122"/>
      <c r="AI122"/>
      <c r="AJ122"/>
      <c r="AK122"/>
      <c r="AN122"/>
      <c r="AO122"/>
      <c r="AP122"/>
      <c r="AQ122"/>
      <c r="AR122"/>
      <c r="AS122"/>
      <c r="AV122"/>
      <c r="AW122"/>
      <c r="AX122"/>
      <c r="AY122"/>
      <c r="AZ122"/>
      <c r="BA122"/>
      <c r="BL122"/>
      <c r="BM122"/>
      <c r="BN122"/>
      <c r="BO122"/>
      <c r="BP122"/>
      <c r="BQ122"/>
    </row>
    <row r="123" spans="4:69" x14ac:dyDescent="0.25">
      <c r="D123"/>
      <c r="E123"/>
      <c r="F123"/>
      <c r="G123"/>
      <c r="J123"/>
      <c r="K123"/>
      <c r="L123"/>
      <c r="M123"/>
      <c r="O123"/>
      <c r="P123"/>
      <c r="Q123"/>
      <c r="R123"/>
      <c r="S123"/>
      <c r="T123"/>
      <c r="U123"/>
      <c r="V123"/>
      <c r="Y123"/>
      <c r="Z123"/>
      <c r="AA123"/>
      <c r="AB123"/>
      <c r="AF123"/>
      <c r="AG123"/>
      <c r="AH123"/>
      <c r="AI123"/>
      <c r="AJ123"/>
      <c r="AK123"/>
      <c r="AN123"/>
      <c r="AO123"/>
      <c r="AP123"/>
      <c r="AQ123"/>
      <c r="AR123"/>
      <c r="AS123"/>
      <c r="AV123"/>
      <c r="AW123"/>
      <c r="AX123"/>
      <c r="AY123"/>
      <c r="AZ123"/>
      <c r="BA123"/>
      <c r="BL123"/>
      <c r="BM123"/>
      <c r="BN123"/>
      <c r="BO123"/>
      <c r="BP123"/>
      <c r="BQ123"/>
    </row>
    <row r="124" spans="4:69" x14ac:dyDescent="0.25">
      <c r="D124"/>
      <c r="E124"/>
      <c r="F124"/>
      <c r="G124"/>
      <c r="J124"/>
      <c r="K124"/>
      <c r="L124"/>
      <c r="M124"/>
      <c r="O124"/>
      <c r="P124"/>
      <c r="Q124"/>
      <c r="R124"/>
      <c r="S124"/>
      <c r="T124"/>
      <c r="U124"/>
      <c r="V124"/>
      <c r="Y124"/>
      <c r="Z124"/>
      <c r="AA124"/>
      <c r="AB124"/>
      <c r="AF124"/>
      <c r="AG124"/>
      <c r="AH124"/>
      <c r="AI124"/>
      <c r="AJ124"/>
      <c r="AK124"/>
      <c r="AN124"/>
      <c r="AO124"/>
      <c r="AP124"/>
      <c r="AQ124"/>
      <c r="AR124"/>
      <c r="AS124"/>
      <c r="AV124"/>
      <c r="AW124"/>
      <c r="AX124"/>
      <c r="AY124"/>
      <c r="AZ124"/>
      <c r="BA124"/>
      <c r="BL124"/>
      <c r="BM124"/>
      <c r="BN124"/>
      <c r="BO124"/>
      <c r="BP124"/>
      <c r="BQ124"/>
    </row>
    <row r="125" spans="4:69" x14ac:dyDescent="0.25">
      <c r="D125"/>
      <c r="E125"/>
      <c r="F125"/>
      <c r="G125"/>
      <c r="J125"/>
      <c r="K125"/>
      <c r="L125"/>
      <c r="M125"/>
      <c r="O125"/>
      <c r="P125"/>
      <c r="Q125"/>
      <c r="R125"/>
      <c r="S125"/>
      <c r="T125"/>
      <c r="U125"/>
      <c r="V125"/>
      <c r="Y125"/>
      <c r="Z125"/>
      <c r="AA125"/>
      <c r="AB125"/>
      <c r="AF125"/>
      <c r="AG125"/>
      <c r="AH125"/>
      <c r="AI125"/>
      <c r="AJ125"/>
      <c r="AK125"/>
      <c r="AN125"/>
      <c r="AO125"/>
      <c r="AP125"/>
      <c r="AQ125"/>
      <c r="AR125"/>
      <c r="AS125"/>
      <c r="AV125"/>
      <c r="AW125"/>
      <c r="AX125"/>
      <c r="AY125"/>
      <c r="AZ125"/>
      <c r="BA125"/>
      <c r="BL125"/>
      <c r="BM125"/>
      <c r="BN125"/>
      <c r="BO125"/>
      <c r="BP125"/>
      <c r="BQ125"/>
    </row>
    <row r="126" spans="4:69" x14ac:dyDescent="0.25">
      <c r="D126"/>
      <c r="E126"/>
      <c r="F126"/>
      <c r="G126"/>
      <c r="J126"/>
      <c r="K126"/>
      <c r="L126"/>
      <c r="M126"/>
      <c r="O126"/>
      <c r="P126"/>
      <c r="Q126"/>
      <c r="R126"/>
      <c r="S126"/>
      <c r="T126"/>
      <c r="U126"/>
      <c r="V126"/>
      <c r="Y126"/>
      <c r="Z126"/>
      <c r="AA126"/>
      <c r="AB126"/>
      <c r="AF126"/>
      <c r="AG126"/>
      <c r="AH126"/>
      <c r="AI126"/>
      <c r="AJ126"/>
      <c r="AK126"/>
      <c r="AN126"/>
      <c r="AO126"/>
      <c r="AP126"/>
      <c r="AQ126"/>
      <c r="AR126"/>
      <c r="AS126"/>
      <c r="AV126"/>
      <c r="AW126"/>
      <c r="AX126"/>
      <c r="AY126"/>
      <c r="AZ126"/>
      <c r="BA126"/>
      <c r="BL126"/>
      <c r="BM126"/>
      <c r="BN126"/>
      <c r="BO126"/>
      <c r="BP126"/>
      <c r="BQ126"/>
    </row>
    <row r="127" spans="4:69" x14ac:dyDescent="0.25">
      <c r="D127"/>
      <c r="E127"/>
      <c r="F127"/>
      <c r="G127"/>
      <c r="J127"/>
      <c r="K127"/>
      <c r="L127"/>
      <c r="M127"/>
      <c r="O127"/>
      <c r="P127"/>
      <c r="Q127"/>
      <c r="R127"/>
      <c r="S127"/>
      <c r="T127"/>
      <c r="U127"/>
      <c r="V127"/>
      <c r="Y127"/>
      <c r="Z127"/>
      <c r="AA127"/>
      <c r="AB127"/>
      <c r="AF127"/>
      <c r="AG127"/>
      <c r="AH127"/>
      <c r="AI127"/>
      <c r="AJ127"/>
      <c r="AK127"/>
      <c r="AN127"/>
      <c r="AO127"/>
      <c r="AP127"/>
      <c r="AQ127"/>
      <c r="AR127"/>
      <c r="AS127"/>
      <c r="AV127"/>
      <c r="AW127"/>
      <c r="AX127"/>
      <c r="AY127"/>
      <c r="AZ127"/>
      <c r="BA127"/>
      <c r="BL127"/>
      <c r="BM127"/>
      <c r="BN127"/>
      <c r="BO127"/>
      <c r="BP127"/>
      <c r="BQ127"/>
    </row>
    <row r="128" spans="4:69" x14ac:dyDescent="0.25">
      <c r="D128"/>
      <c r="E128"/>
      <c r="F128"/>
      <c r="G128"/>
      <c r="J128"/>
      <c r="K128"/>
      <c r="L128"/>
      <c r="M128"/>
      <c r="O128"/>
      <c r="P128"/>
      <c r="Q128"/>
      <c r="R128"/>
      <c r="S128"/>
      <c r="T128"/>
      <c r="U128"/>
      <c r="V128"/>
      <c r="Y128"/>
      <c r="Z128"/>
      <c r="AA128"/>
      <c r="AB128"/>
      <c r="AF128"/>
      <c r="AG128"/>
      <c r="AH128"/>
      <c r="AI128"/>
      <c r="AJ128"/>
      <c r="AK128"/>
      <c r="AN128"/>
      <c r="AO128"/>
      <c r="AP128"/>
      <c r="AQ128"/>
      <c r="AR128"/>
      <c r="AS128"/>
      <c r="AV128"/>
      <c r="AW128"/>
      <c r="AX128"/>
      <c r="AY128"/>
      <c r="AZ128"/>
      <c r="BA128"/>
      <c r="BL128"/>
      <c r="BM128"/>
      <c r="BN128"/>
      <c r="BO128"/>
      <c r="BP128"/>
      <c r="BQ128"/>
    </row>
    <row r="129" spans="4:69" x14ac:dyDescent="0.25">
      <c r="D129"/>
      <c r="E129"/>
      <c r="F129"/>
      <c r="G129"/>
      <c r="J129"/>
      <c r="K129"/>
      <c r="L129"/>
      <c r="M129"/>
      <c r="O129"/>
      <c r="P129"/>
      <c r="Q129"/>
      <c r="R129"/>
      <c r="S129"/>
      <c r="T129"/>
      <c r="U129"/>
      <c r="V129"/>
      <c r="Y129"/>
      <c r="Z129"/>
      <c r="AA129"/>
      <c r="AB129"/>
      <c r="AF129"/>
      <c r="AG129"/>
      <c r="AH129"/>
      <c r="AI129"/>
      <c r="AJ129"/>
      <c r="AK129"/>
      <c r="AN129"/>
      <c r="AO129"/>
      <c r="AP129"/>
      <c r="AQ129"/>
      <c r="AR129"/>
      <c r="AS129"/>
      <c r="AV129"/>
      <c r="AW129"/>
      <c r="AX129"/>
      <c r="AY129"/>
      <c r="AZ129"/>
      <c r="BA129"/>
      <c r="BL129"/>
      <c r="BM129"/>
      <c r="BN129"/>
      <c r="BO129"/>
      <c r="BP129"/>
      <c r="BQ129"/>
    </row>
    <row r="130" spans="4:69" x14ac:dyDescent="0.25">
      <c r="D130"/>
      <c r="E130"/>
      <c r="F130"/>
      <c r="G130"/>
      <c r="J130"/>
      <c r="K130"/>
      <c r="L130"/>
      <c r="M130"/>
      <c r="O130"/>
      <c r="P130"/>
      <c r="Q130"/>
      <c r="R130"/>
      <c r="S130"/>
      <c r="T130"/>
      <c r="U130"/>
      <c r="V130"/>
      <c r="Y130"/>
      <c r="Z130"/>
      <c r="AA130"/>
      <c r="AB130"/>
      <c r="AF130"/>
      <c r="AG130"/>
      <c r="AH130"/>
      <c r="AI130"/>
      <c r="AJ130"/>
      <c r="AK130"/>
      <c r="AN130"/>
      <c r="AO130"/>
      <c r="AP130"/>
      <c r="AQ130"/>
      <c r="AR130"/>
      <c r="AS130"/>
      <c r="AV130"/>
      <c r="AW130"/>
      <c r="AX130"/>
      <c r="AY130"/>
      <c r="AZ130"/>
      <c r="BA130"/>
      <c r="BL130"/>
      <c r="BM130"/>
      <c r="BN130"/>
      <c r="BO130"/>
      <c r="BP130"/>
      <c r="BQ130"/>
    </row>
    <row r="131" spans="4:69" x14ac:dyDescent="0.25">
      <c r="D131"/>
      <c r="E131"/>
      <c r="F131"/>
      <c r="G131"/>
      <c r="J131"/>
      <c r="K131"/>
      <c r="L131"/>
      <c r="M131"/>
      <c r="O131"/>
      <c r="P131"/>
      <c r="Q131"/>
      <c r="R131"/>
      <c r="S131"/>
      <c r="T131"/>
      <c r="U131"/>
      <c r="V131"/>
      <c r="Y131"/>
      <c r="Z131"/>
      <c r="AA131"/>
      <c r="AB131"/>
      <c r="AF131"/>
      <c r="AG131"/>
      <c r="AH131"/>
      <c r="AI131"/>
      <c r="AJ131"/>
      <c r="AK131"/>
      <c r="AN131"/>
      <c r="AO131"/>
      <c r="AP131"/>
      <c r="AQ131"/>
      <c r="AR131"/>
      <c r="AS131"/>
      <c r="AV131"/>
      <c r="AW131"/>
      <c r="AX131"/>
      <c r="AY131"/>
      <c r="AZ131"/>
      <c r="BA131"/>
      <c r="BL131"/>
      <c r="BM131"/>
      <c r="BN131"/>
      <c r="BO131"/>
      <c r="BP131"/>
      <c r="BQ131"/>
    </row>
    <row r="132" spans="4:69" x14ac:dyDescent="0.25">
      <c r="D132"/>
      <c r="E132"/>
      <c r="F132"/>
      <c r="G132"/>
      <c r="J132"/>
      <c r="K132"/>
      <c r="L132"/>
      <c r="M132"/>
      <c r="O132"/>
      <c r="P132"/>
      <c r="Q132"/>
      <c r="R132"/>
      <c r="S132"/>
      <c r="T132"/>
      <c r="U132"/>
      <c r="V132"/>
      <c r="Y132"/>
      <c r="Z132"/>
      <c r="AA132"/>
      <c r="AB132"/>
      <c r="AF132"/>
      <c r="AG132"/>
      <c r="AH132"/>
      <c r="AI132"/>
      <c r="AJ132"/>
      <c r="AK132"/>
      <c r="AN132"/>
      <c r="AO132"/>
      <c r="AP132"/>
      <c r="AQ132"/>
      <c r="AR132"/>
      <c r="AS132"/>
      <c r="AV132"/>
      <c r="AW132"/>
      <c r="AX132"/>
      <c r="AY132"/>
      <c r="AZ132"/>
      <c r="BA132"/>
      <c r="BL132"/>
      <c r="BM132"/>
      <c r="BN132"/>
      <c r="BO132"/>
      <c r="BP132"/>
      <c r="BQ132"/>
    </row>
    <row r="133" spans="4:69" x14ac:dyDescent="0.25">
      <c r="D133"/>
      <c r="E133"/>
      <c r="F133"/>
      <c r="G133"/>
      <c r="J133"/>
      <c r="K133"/>
      <c r="L133"/>
      <c r="M133"/>
      <c r="O133"/>
      <c r="P133"/>
      <c r="Q133"/>
      <c r="R133"/>
      <c r="S133"/>
      <c r="T133"/>
      <c r="U133"/>
      <c r="V133"/>
      <c r="Y133"/>
      <c r="Z133"/>
      <c r="AA133"/>
      <c r="AB133"/>
      <c r="AF133"/>
      <c r="AG133"/>
      <c r="AH133"/>
      <c r="AI133"/>
      <c r="AJ133"/>
      <c r="AK133"/>
      <c r="AN133"/>
      <c r="AO133"/>
      <c r="AP133"/>
      <c r="AQ133"/>
      <c r="AR133"/>
      <c r="AS133"/>
      <c r="AV133"/>
      <c r="AW133"/>
      <c r="AX133"/>
      <c r="AY133"/>
      <c r="AZ133"/>
      <c r="BA133"/>
      <c r="BL133"/>
      <c r="BM133"/>
      <c r="BN133"/>
      <c r="BO133"/>
      <c r="BP133"/>
      <c r="BQ133"/>
    </row>
    <row r="134" spans="4:69" x14ac:dyDescent="0.25">
      <c r="D134"/>
      <c r="E134"/>
      <c r="F134"/>
      <c r="G134"/>
      <c r="J134"/>
      <c r="K134"/>
      <c r="L134"/>
      <c r="M134"/>
      <c r="O134"/>
      <c r="P134"/>
      <c r="Q134"/>
      <c r="R134"/>
      <c r="S134"/>
      <c r="T134"/>
      <c r="U134"/>
      <c r="V134"/>
      <c r="Y134"/>
      <c r="Z134"/>
      <c r="AA134"/>
      <c r="AB134"/>
      <c r="AF134"/>
      <c r="AG134"/>
      <c r="AH134"/>
      <c r="AI134"/>
      <c r="AJ134"/>
      <c r="AK134"/>
      <c r="AN134"/>
      <c r="AO134"/>
      <c r="AP134"/>
      <c r="AQ134"/>
      <c r="AR134"/>
      <c r="AS134"/>
      <c r="AV134"/>
      <c r="AW134"/>
      <c r="AX134"/>
      <c r="AY134"/>
      <c r="AZ134"/>
      <c r="BA134"/>
      <c r="BL134"/>
      <c r="BM134"/>
      <c r="BN134"/>
      <c r="BO134"/>
      <c r="BP134"/>
      <c r="BQ134"/>
    </row>
    <row r="135" spans="4:69" x14ac:dyDescent="0.25">
      <c r="D135"/>
      <c r="E135"/>
      <c r="F135"/>
      <c r="G135"/>
      <c r="J135"/>
      <c r="K135"/>
      <c r="L135"/>
      <c r="M135"/>
      <c r="O135"/>
      <c r="P135"/>
      <c r="Q135"/>
      <c r="R135"/>
      <c r="S135"/>
      <c r="T135"/>
      <c r="U135"/>
      <c r="V135"/>
      <c r="Y135"/>
      <c r="Z135"/>
      <c r="AA135"/>
      <c r="AB135"/>
      <c r="AF135"/>
      <c r="AG135"/>
      <c r="AH135"/>
      <c r="AI135"/>
      <c r="AJ135"/>
      <c r="AK135"/>
      <c r="AN135"/>
      <c r="AO135"/>
      <c r="AP135"/>
      <c r="AQ135"/>
      <c r="AR135"/>
      <c r="AS135"/>
      <c r="AV135"/>
      <c r="AW135"/>
      <c r="AX135"/>
      <c r="AY135"/>
      <c r="AZ135"/>
      <c r="BA135"/>
      <c r="BL135"/>
      <c r="BM135"/>
      <c r="BN135"/>
      <c r="BO135"/>
      <c r="BP135"/>
      <c r="BQ135"/>
    </row>
    <row r="136" spans="4:69" x14ac:dyDescent="0.25">
      <c r="D136"/>
      <c r="E136"/>
      <c r="F136"/>
      <c r="G136"/>
      <c r="J136"/>
      <c r="K136"/>
      <c r="L136"/>
      <c r="M136"/>
      <c r="O136"/>
      <c r="P136"/>
      <c r="Q136"/>
      <c r="R136"/>
      <c r="S136"/>
      <c r="T136"/>
      <c r="U136"/>
      <c r="V136"/>
      <c r="Y136"/>
      <c r="Z136"/>
      <c r="AA136"/>
      <c r="AB136"/>
      <c r="AF136"/>
      <c r="AG136"/>
      <c r="AH136"/>
      <c r="AI136"/>
      <c r="AJ136"/>
      <c r="AK136"/>
      <c r="AN136"/>
      <c r="AO136"/>
      <c r="AP136"/>
      <c r="AQ136"/>
      <c r="AR136"/>
      <c r="AS136"/>
      <c r="AV136"/>
      <c r="AW136"/>
      <c r="AX136"/>
      <c r="AY136"/>
      <c r="AZ136"/>
      <c r="BA136"/>
      <c r="BL136"/>
      <c r="BM136"/>
      <c r="BN136"/>
      <c r="BO136"/>
      <c r="BP136"/>
      <c r="BQ136"/>
    </row>
    <row r="137" spans="4:69" x14ac:dyDescent="0.25">
      <c r="D137"/>
      <c r="E137"/>
      <c r="F137"/>
      <c r="G137"/>
      <c r="J137"/>
      <c r="K137"/>
      <c r="L137"/>
      <c r="M137"/>
      <c r="O137"/>
      <c r="P137"/>
      <c r="Q137"/>
      <c r="R137"/>
      <c r="S137"/>
      <c r="T137"/>
      <c r="U137"/>
      <c r="V137"/>
      <c r="Y137"/>
      <c r="Z137"/>
      <c r="AA137"/>
      <c r="AB137"/>
      <c r="AF137"/>
      <c r="AG137"/>
      <c r="AH137"/>
      <c r="AI137"/>
      <c r="AJ137"/>
      <c r="AK137"/>
      <c r="AN137"/>
      <c r="AO137"/>
      <c r="AP137"/>
      <c r="AQ137"/>
      <c r="AR137"/>
      <c r="AS137"/>
      <c r="AV137"/>
      <c r="AW137"/>
      <c r="AX137"/>
      <c r="AY137"/>
      <c r="AZ137"/>
      <c r="BA137"/>
      <c r="BL137"/>
      <c r="BM137"/>
      <c r="BN137"/>
      <c r="BO137"/>
      <c r="BP137"/>
      <c r="BQ137"/>
    </row>
    <row r="138" spans="4:69" x14ac:dyDescent="0.25">
      <c r="D138"/>
      <c r="E138"/>
      <c r="F138"/>
      <c r="G138"/>
      <c r="J138"/>
      <c r="K138"/>
      <c r="L138"/>
      <c r="M138"/>
      <c r="O138"/>
      <c r="P138"/>
      <c r="Q138"/>
      <c r="R138"/>
      <c r="S138"/>
      <c r="T138"/>
      <c r="U138"/>
      <c r="V138"/>
      <c r="Y138"/>
      <c r="Z138"/>
      <c r="AA138"/>
      <c r="AB138"/>
      <c r="AF138"/>
      <c r="AG138"/>
      <c r="AH138"/>
      <c r="AI138"/>
      <c r="AJ138"/>
      <c r="AK138"/>
      <c r="AN138"/>
      <c r="AO138"/>
      <c r="AP138"/>
      <c r="AQ138"/>
      <c r="AR138"/>
      <c r="AS138"/>
      <c r="AV138"/>
      <c r="AW138"/>
      <c r="AX138"/>
      <c r="AY138"/>
      <c r="AZ138"/>
      <c r="BA138"/>
      <c r="BL138"/>
      <c r="BM138"/>
      <c r="BN138"/>
      <c r="BO138"/>
      <c r="BP138"/>
      <c r="BQ138"/>
    </row>
    <row r="139" spans="4:69" x14ac:dyDescent="0.25">
      <c r="D139"/>
      <c r="E139"/>
      <c r="F139"/>
      <c r="G139"/>
      <c r="J139"/>
      <c r="K139"/>
      <c r="L139"/>
      <c r="M139"/>
      <c r="O139"/>
      <c r="P139"/>
      <c r="Q139"/>
      <c r="R139"/>
      <c r="S139"/>
      <c r="T139"/>
      <c r="U139"/>
      <c r="V139"/>
      <c r="Y139"/>
      <c r="Z139"/>
      <c r="AA139"/>
      <c r="AB139"/>
      <c r="AF139"/>
      <c r="AG139"/>
      <c r="AH139"/>
      <c r="AI139"/>
      <c r="AJ139"/>
      <c r="AK139"/>
      <c r="AN139"/>
      <c r="AO139"/>
      <c r="AP139"/>
      <c r="AQ139"/>
      <c r="AR139"/>
      <c r="AS139"/>
      <c r="AV139"/>
      <c r="AW139"/>
      <c r="AX139"/>
      <c r="AY139"/>
      <c r="AZ139"/>
      <c r="BA139"/>
      <c r="BL139"/>
      <c r="BM139"/>
      <c r="BN139"/>
      <c r="BO139"/>
      <c r="BP139"/>
      <c r="BQ139"/>
    </row>
    <row r="140" spans="4:69" x14ac:dyDescent="0.25">
      <c r="D140"/>
      <c r="E140"/>
      <c r="F140"/>
      <c r="G140"/>
      <c r="J140"/>
      <c r="K140"/>
      <c r="L140"/>
      <c r="M140"/>
      <c r="O140"/>
      <c r="P140"/>
      <c r="Q140"/>
      <c r="R140"/>
      <c r="S140"/>
      <c r="T140"/>
      <c r="U140"/>
      <c r="V140"/>
      <c r="Y140"/>
      <c r="Z140"/>
      <c r="AA140"/>
      <c r="AB140"/>
      <c r="AF140"/>
      <c r="AG140"/>
      <c r="AH140"/>
      <c r="AI140"/>
      <c r="AJ140"/>
      <c r="AK140"/>
      <c r="AN140"/>
      <c r="AO140"/>
      <c r="AP140"/>
      <c r="AQ140"/>
      <c r="AR140"/>
      <c r="AS140"/>
      <c r="AV140"/>
      <c r="AW140"/>
      <c r="AX140"/>
      <c r="AY140"/>
      <c r="AZ140"/>
      <c r="BA140"/>
      <c r="BL140"/>
      <c r="BM140"/>
      <c r="BN140"/>
      <c r="BO140"/>
      <c r="BP140"/>
      <c r="BQ140"/>
    </row>
    <row r="141" spans="4:69" x14ac:dyDescent="0.25">
      <c r="D141"/>
      <c r="E141"/>
      <c r="F141"/>
      <c r="G141"/>
      <c r="J141"/>
      <c r="K141"/>
      <c r="L141"/>
      <c r="M141"/>
      <c r="O141"/>
      <c r="P141"/>
      <c r="Q141"/>
      <c r="R141"/>
      <c r="S141"/>
      <c r="T141"/>
      <c r="U141"/>
      <c r="V141"/>
      <c r="Y141"/>
      <c r="Z141"/>
      <c r="AA141"/>
      <c r="AB141"/>
      <c r="AF141"/>
      <c r="AG141"/>
      <c r="AH141"/>
      <c r="AI141"/>
      <c r="AJ141"/>
      <c r="AK141"/>
      <c r="AN141"/>
      <c r="AO141"/>
      <c r="AP141"/>
      <c r="AQ141"/>
      <c r="AR141"/>
      <c r="AS141"/>
      <c r="AV141"/>
      <c r="AW141"/>
      <c r="AX141"/>
      <c r="AY141"/>
      <c r="AZ141"/>
      <c r="BA141"/>
      <c r="BL141"/>
      <c r="BM141"/>
      <c r="BN141"/>
      <c r="BO141"/>
      <c r="BP141"/>
      <c r="BQ141"/>
    </row>
    <row r="142" spans="4:69" x14ac:dyDescent="0.25">
      <c r="D142"/>
      <c r="E142"/>
      <c r="F142"/>
      <c r="G142"/>
      <c r="J142"/>
      <c r="K142"/>
      <c r="L142"/>
      <c r="M142"/>
      <c r="O142"/>
      <c r="P142"/>
      <c r="Q142"/>
      <c r="R142"/>
      <c r="S142"/>
      <c r="T142"/>
      <c r="U142"/>
      <c r="V142"/>
      <c r="Y142"/>
      <c r="Z142"/>
      <c r="AA142"/>
      <c r="AB142"/>
      <c r="AF142"/>
      <c r="AG142"/>
      <c r="AH142"/>
      <c r="AI142"/>
      <c r="AJ142"/>
      <c r="AK142"/>
      <c r="AN142"/>
      <c r="AO142"/>
      <c r="AP142"/>
      <c r="AQ142"/>
      <c r="AR142"/>
      <c r="AS142"/>
      <c r="AV142"/>
      <c r="AW142"/>
      <c r="AX142"/>
      <c r="AY142"/>
      <c r="AZ142"/>
      <c r="BA142"/>
      <c r="BL142"/>
      <c r="BM142"/>
      <c r="BN142"/>
      <c r="BO142"/>
      <c r="BP142"/>
      <c r="BQ142"/>
    </row>
    <row r="143" spans="4:69" x14ac:dyDescent="0.25">
      <c r="D143"/>
      <c r="E143"/>
      <c r="F143"/>
      <c r="G143"/>
      <c r="J143"/>
      <c r="K143"/>
      <c r="L143"/>
      <c r="M143"/>
      <c r="O143"/>
      <c r="P143"/>
      <c r="Q143"/>
      <c r="R143"/>
      <c r="S143"/>
      <c r="T143"/>
      <c r="U143"/>
      <c r="V143"/>
      <c r="Y143"/>
      <c r="Z143"/>
      <c r="AA143"/>
      <c r="AB143"/>
      <c r="AF143"/>
      <c r="AG143"/>
      <c r="AH143"/>
      <c r="AI143"/>
      <c r="AJ143"/>
      <c r="AK143"/>
      <c r="AN143"/>
      <c r="AO143"/>
      <c r="AP143"/>
      <c r="AQ143"/>
      <c r="AR143"/>
      <c r="AS143"/>
      <c r="AV143"/>
      <c r="AW143"/>
      <c r="AX143"/>
      <c r="AY143"/>
      <c r="AZ143"/>
      <c r="BA143"/>
      <c r="BL143"/>
      <c r="BM143"/>
      <c r="BN143"/>
      <c r="BO143"/>
      <c r="BP143"/>
      <c r="BQ143"/>
    </row>
    <row r="144" spans="4:69" x14ac:dyDescent="0.25">
      <c r="D144"/>
      <c r="E144"/>
      <c r="F144"/>
      <c r="G144"/>
      <c r="J144"/>
      <c r="K144"/>
      <c r="L144"/>
      <c r="M144"/>
      <c r="O144"/>
      <c r="P144"/>
      <c r="Q144"/>
      <c r="R144"/>
      <c r="S144"/>
      <c r="T144"/>
      <c r="U144"/>
      <c r="V144"/>
      <c r="Y144"/>
      <c r="Z144"/>
      <c r="AA144"/>
      <c r="AB144"/>
      <c r="AF144"/>
      <c r="AG144"/>
      <c r="AH144"/>
      <c r="AI144"/>
      <c r="AJ144"/>
      <c r="AK144"/>
      <c r="AN144"/>
      <c r="AO144"/>
      <c r="AP144"/>
      <c r="AQ144"/>
      <c r="AR144"/>
      <c r="AS144"/>
      <c r="AV144"/>
      <c r="AW144"/>
      <c r="AX144"/>
      <c r="AY144"/>
      <c r="AZ144"/>
      <c r="BA144"/>
      <c r="BL144"/>
      <c r="BM144"/>
      <c r="BN144"/>
      <c r="BO144"/>
      <c r="BP144"/>
      <c r="BQ144"/>
    </row>
    <row r="145" spans="4:69" x14ac:dyDescent="0.25">
      <c r="D145"/>
      <c r="E145"/>
      <c r="F145"/>
      <c r="G145"/>
      <c r="J145"/>
      <c r="K145"/>
      <c r="L145"/>
      <c r="M145"/>
      <c r="O145"/>
      <c r="P145"/>
      <c r="Q145"/>
      <c r="R145"/>
      <c r="S145"/>
      <c r="T145"/>
      <c r="U145"/>
      <c r="V145"/>
      <c r="Y145"/>
      <c r="Z145"/>
      <c r="AA145"/>
      <c r="AB145"/>
      <c r="AF145"/>
      <c r="AG145"/>
      <c r="AH145"/>
      <c r="AI145"/>
      <c r="AJ145"/>
      <c r="AK145"/>
      <c r="AN145"/>
      <c r="AO145"/>
      <c r="AP145"/>
      <c r="AQ145"/>
      <c r="AR145"/>
      <c r="AS145"/>
      <c r="AV145"/>
      <c r="AW145"/>
      <c r="AX145"/>
      <c r="AY145"/>
      <c r="AZ145"/>
      <c r="BA145"/>
      <c r="BL145"/>
      <c r="BM145"/>
      <c r="BN145"/>
      <c r="BO145"/>
      <c r="BP145"/>
      <c r="BQ145"/>
    </row>
    <row r="146" spans="4:69" x14ac:dyDescent="0.25">
      <c r="D146"/>
      <c r="E146"/>
      <c r="F146"/>
      <c r="G146"/>
      <c r="J146"/>
      <c r="K146"/>
      <c r="L146"/>
      <c r="M146"/>
      <c r="O146"/>
      <c r="P146"/>
      <c r="Q146"/>
      <c r="R146"/>
      <c r="S146"/>
      <c r="T146"/>
      <c r="U146"/>
      <c r="V146"/>
      <c r="Y146"/>
      <c r="Z146"/>
      <c r="AA146"/>
      <c r="AB146"/>
      <c r="AF146"/>
      <c r="AG146"/>
      <c r="AH146"/>
      <c r="AI146"/>
      <c r="AJ146"/>
      <c r="AK146"/>
      <c r="AN146"/>
      <c r="AO146"/>
      <c r="AP146"/>
      <c r="AQ146"/>
      <c r="AR146"/>
      <c r="AS146"/>
      <c r="AV146"/>
      <c r="AW146"/>
      <c r="AX146"/>
      <c r="AY146"/>
      <c r="AZ146"/>
      <c r="BA146"/>
      <c r="BL146"/>
      <c r="BM146"/>
      <c r="BN146"/>
      <c r="BO146"/>
      <c r="BP146"/>
      <c r="BQ146"/>
    </row>
    <row r="147" spans="4:69" x14ac:dyDescent="0.25">
      <c r="D147"/>
      <c r="E147"/>
      <c r="F147"/>
      <c r="G147"/>
      <c r="J147"/>
      <c r="K147"/>
      <c r="L147"/>
      <c r="M147"/>
      <c r="O147"/>
      <c r="P147"/>
      <c r="Q147"/>
      <c r="R147"/>
      <c r="S147"/>
      <c r="T147"/>
      <c r="U147"/>
      <c r="V147"/>
      <c r="Y147"/>
      <c r="Z147"/>
      <c r="AA147"/>
      <c r="AB147"/>
      <c r="AF147"/>
      <c r="AG147"/>
      <c r="AH147"/>
      <c r="AI147"/>
      <c r="AJ147"/>
      <c r="AK147"/>
      <c r="AN147"/>
      <c r="AO147"/>
      <c r="AP147"/>
      <c r="AQ147"/>
      <c r="AR147"/>
      <c r="AS147"/>
      <c r="AV147"/>
      <c r="AW147"/>
      <c r="AX147"/>
      <c r="AY147"/>
      <c r="AZ147"/>
      <c r="BA147"/>
      <c r="BL147"/>
      <c r="BM147"/>
      <c r="BN147"/>
      <c r="BO147"/>
      <c r="BP147"/>
      <c r="BQ147"/>
    </row>
    <row r="148" spans="4:69" x14ac:dyDescent="0.25">
      <c r="D148"/>
      <c r="E148"/>
      <c r="F148"/>
      <c r="G148"/>
      <c r="J148"/>
      <c r="K148"/>
      <c r="L148"/>
      <c r="M148"/>
      <c r="O148"/>
      <c r="P148"/>
      <c r="Q148"/>
      <c r="R148"/>
      <c r="S148"/>
      <c r="T148"/>
      <c r="U148"/>
      <c r="V148"/>
      <c r="Y148"/>
      <c r="Z148"/>
      <c r="AA148"/>
      <c r="AB148"/>
      <c r="AF148"/>
      <c r="AG148"/>
      <c r="AH148"/>
      <c r="AI148"/>
      <c r="AJ148"/>
      <c r="AK148"/>
      <c r="AN148"/>
      <c r="AO148"/>
      <c r="AP148"/>
      <c r="AQ148"/>
      <c r="AR148"/>
      <c r="AS148"/>
      <c r="AV148"/>
      <c r="AW148"/>
      <c r="AX148"/>
      <c r="AY148"/>
      <c r="AZ148"/>
      <c r="BA148"/>
      <c r="BL148"/>
      <c r="BM148"/>
      <c r="BN148"/>
      <c r="BO148"/>
      <c r="BP148"/>
      <c r="BQ148"/>
    </row>
    <row r="149" spans="4:69" x14ac:dyDescent="0.25">
      <c r="D149"/>
      <c r="E149"/>
      <c r="F149"/>
      <c r="G149"/>
      <c r="J149"/>
      <c r="K149"/>
      <c r="L149"/>
      <c r="M149"/>
      <c r="O149"/>
      <c r="P149"/>
      <c r="Q149"/>
      <c r="R149"/>
      <c r="S149"/>
      <c r="T149"/>
      <c r="U149"/>
      <c r="V149"/>
      <c r="Y149"/>
      <c r="Z149"/>
      <c r="AA149"/>
      <c r="AB149"/>
      <c r="AF149"/>
      <c r="AG149"/>
      <c r="AH149"/>
      <c r="AI149"/>
      <c r="AJ149"/>
      <c r="AK149"/>
      <c r="AN149"/>
      <c r="AO149"/>
      <c r="AP149"/>
      <c r="AQ149"/>
      <c r="AR149"/>
      <c r="AS149"/>
      <c r="AV149"/>
      <c r="AW149"/>
      <c r="AX149"/>
      <c r="AY149"/>
      <c r="AZ149"/>
      <c r="BA149"/>
      <c r="BL149"/>
      <c r="BM149"/>
      <c r="BN149"/>
      <c r="BO149"/>
      <c r="BP149"/>
      <c r="BQ149"/>
    </row>
    <row r="150" spans="4:69" x14ac:dyDescent="0.25">
      <c r="D150"/>
      <c r="E150"/>
      <c r="F150"/>
      <c r="G150"/>
      <c r="J150"/>
      <c r="K150"/>
      <c r="L150"/>
      <c r="M150"/>
      <c r="O150"/>
      <c r="P150"/>
      <c r="Q150"/>
      <c r="R150"/>
      <c r="S150"/>
      <c r="T150"/>
      <c r="U150"/>
      <c r="V150"/>
      <c r="Y150"/>
      <c r="Z150"/>
      <c r="AA150"/>
      <c r="AB150"/>
      <c r="AF150"/>
      <c r="AG150"/>
      <c r="AH150"/>
      <c r="AI150"/>
      <c r="AJ150"/>
      <c r="AK150"/>
      <c r="AN150"/>
      <c r="AO150"/>
      <c r="AP150"/>
      <c r="AQ150"/>
      <c r="AR150"/>
      <c r="AS150"/>
      <c r="AV150"/>
      <c r="AW150"/>
      <c r="AX150"/>
      <c r="AY150"/>
      <c r="AZ150"/>
      <c r="BA150"/>
      <c r="BL150"/>
      <c r="BM150"/>
      <c r="BN150"/>
      <c r="BO150"/>
      <c r="BP150"/>
      <c r="BQ150"/>
    </row>
    <row r="151" spans="4:69" x14ac:dyDescent="0.25">
      <c r="D151"/>
      <c r="E151"/>
      <c r="F151"/>
      <c r="G151"/>
      <c r="J151"/>
      <c r="K151"/>
      <c r="L151"/>
      <c r="M151"/>
      <c r="O151"/>
      <c r="P151"/>
      <c r="Q151"/>
      <c r="R151"/>
      <c r="S151"/>
      <c r="T151"/>
      <c r="U151"/>
      <c r="V151"/>
      <c r="Y151"/>
      <c r="Z151"/>
      <c r="AA151"/>
      <c r="AB151"/>
      <c r="AF151"/>
      <c r="AG151"/>
      <c r="AH151"/>
      <c r="AI151"/>
      <c r="AJ151"/>
      <c r="AK151"/>
      <c r="AN151"/>
      <c r="AO151"/>
      <c r="AP151"/>
      <c r="AQ151"/>
      <c r="AR151"/>
      <c r="AS151"/>
      <c r="AV151"/>
      <c r="AW151"/>
      <c r="AX151"/>
      <c r="AY151"/>
      <c r="AZ151"/>
      <c r="BA151"/>
      <c r="BL151"/>
      <c r="BM151"/>
      <c r="BN151"/>
      <c r="BO151"/>
      <c r="BP151"/>
      <c r="BQ151"/>
    </row>
    <row r="152" spans="4:69" x14ac:dyDescent="0.25">
      <c r="D152"/>
      <c r="E152"/>
      <c r="F152"/>
      <c r="G152"/>
      <c r="J152"/>
      <c r="K152"/>
      <c r="L152"/>
      <c r="M152"/>
      <c r="O152"/>
      <c r="P152"/>
      <c r="Q152"/>
      <c r="R152"/>
      <c r="S152"/>
      <c r="T152"/>
      <c r="U152"/>
      <c r="V152"/>
      <c r="Y152"/>
      <c r="Z152"/>
      <c r="AA152"/>
      <c r="AB152"/>
      <c r="AF152"/>
      <c r="AG152"/>
      <c r="AH152"/>
      <c r="AI152"/>
      <c r="AJ152"/>
      <c r="AK152"/>
      <c r="AN152"/>
      <c r="AO152"/>
      <c r="AP152"/>
      <c r="AQ152"/>
      <c r="AR152"/>
      <c r="AS152"/>
      <c r="AV152"/>
      <c r="AW152"/>
      <c r="AX152"/>
      <c r="AY152"/>
      <c r="AZ152"/>
      <c r="BA152"/>
      <c r="BL152"/>
      <c r="BM152"/>
      <c r="BN152"/>
      <c r="BO152"/>
      <c r="BP152"/>
      <c r="BQ152"/>
    </row>
    <row r="153" spans="4:69" x14ac:dyDescent="0.25">
      <c r="D153"/>
      <c r="E153"/>
      <c r="F153"/>
      <c r="G153"/>
      <c r="J153"/>
      <c r="K153"/>
      <c r="L153"/>
      <c r="M153"/>
      <c r="O153"/>
      <c r="P153"/>
      <c r="Q153"/>
      <c r="R153"/>
      <c r="S153"/>
      <c r="T153"/>
      <c r="U153"/>
      <c r="V153"/>
      <c r="Y153"/>
      <c r="Z153"/>
      <c r="AA153"/>
      <c r="AB153"/>
      <c r="AF153"/>
      <c r="AG153"/>
      <c r="AH153"/>
      <c r="AI153"/>
      <c r="AJ153"/>
      <c r="AK153"/>
      <c r="AN153"/>
      <c r="AO153"/>
      <c r="AP153"/>
      <c r="AQ153"/>
      <c r="AR153"/>
      <c r="AS153"/>
      <c r="AV153"/>
      <c r="AW153"/>
      <c r="AX153"/>
      <c r="AY153"/>
      <c r="AZ153"/>
      <c r="BA153"/>
      <c r="BL153"/>
      <c r="BM153"/>
      <c r="BN153"/>
      <c r="BO153"/>
      <c r="BP153"/>
      <c r="BQ153"/>
    </row>
    <row r="154" spans="4:69" x14ac:dyDescent="0.25">
      <c r="D154"/>
      <c r="E154"/>
      <c r="F154"/>
      <c r="G154"/>
      <c r="J154"/>
      <c r="K154"/>
      <c r="L154"/>
      <c r="M154"/>
      <c r="O154"/>
      <c r="P154"/>
      <c r="Q154"/>
      <c r="R154"/>
      <c r="S154"/>
      <c r="T154"/>
      <c r="U154"/>
      <c r="V154"/>
      <c r="Y154"/>
      <c r="Z154"/>
      <c r="AA154"/>
      <c r="AB154"/>
      <c r="AF154"/>
      <c r="AG154"/>
      <c r="AH154"/>
      <c r="AI154"/>
      <c r="AJ154"/>
      <c r="AK154"/>
      <c r="AN154"/>
      <c r="AO154"/>
      <c r="AP154"/>
      <c r="AQ154"/>
      <c r="AR154"/>
      <c r="AS154"/>
      <c r="AV154"/>
      <c r="AW154"/>
      <c r="AX154"/>
      <c r="AY154"/>
      <c r="AZ154"/>
      <c r="BA154"/>
      <c r="BL154"/>
      <c r="BM154"/>
      <c r="BN154"/>
      <c r="BO154"/>
      <c r="BP154"/>
      <c r="BQ154"/>
    </row>
    <row r="155" spans="4:69" x14ac:dyDescent="0.25">
      <c r="D155"/>
      <c r="E155"/>
      <c r="F155"/>
      <c r="G155"/>
      <c r="J155"/>
      <c r="K155"/>
      <c r="L155"/>
      <c r="M155"/>
      <c r="O155"/>
      <c r="P155"/>
      <c r="Q155"/>
      <c r="R155"/>
      <c r="S155"/>
      <c r="T155"/>
      <c r="U155"/>
      <c r="V155"/>
      <c r="Y155"/>
      <c r="Z155"/>
      <c r="AA155"/>
      <c r="AB155"/>
      <c r="AF155"/>
      <c r="AG155"/>
      <c r="AH155"/>
      <c r="AI155"/>
      <c r="AJ155"/>
      <c r="AK155"/>
      <c r="AN155"/>
      <c r="AO155"/>
      <c r="AP155"/>
      <c r="AQ155"/>
      <c r="AR155"/>
      <c r="AS155"/>
      <c r="AV155"/>
      <c r="AW155"/>
      <c r="AX155"/>
      <c r="AY155"/>
      <c r="AZ155"/>
      <c r="BA155"/>
      <c r="BL155"/>
      <c r="BM155"/>
      <c r="BN155"/>
      <c r="BO155"/>
      <c r="BP155"/>
      <c r="BQ155"/>
    </row>
    <row r="156" spans="4:69" x14ac:dyDescent="0.25">
      <c r="D156"/>
      <c r="E156"/>
      <c r="F156"/>
      <c r="G156"/>
      <c r="J156"/>
      <c r="K156"/>
      <c r="L156"/>
      <c r="M156"/>
      <c r="O156"/>
      <c r="P156"/>
      <c r="Q156"/>
      <c r="R156"/>
      <c r="S156"/>
      <c r="T156"/>
      <c r="U156"/>
      <c r="V156"/>
      <c r="Y156"/>
      <c r="Z156"/>
      <c r="AA156"/>
      <c r="AB156"/>
      <c r="AF156"/>
      <c r="AG156"/>
      <c r="AH156"/>
      <c r="AI156"/>
      <c r="AJ156"/>
      <c r="AK156"/>
      <c r="AN156"/>
      <c r="AO156"/>
      <c r="AP156"/>
      <c r="AQ156"/>
      <c r="AR156"/>
      <c r="AS156"/>
      <c r="AV156"/>
      <c r="AW156"/>
      <c r="AX156"/>
      <c r="AY156"/>
      <c r="AZ156"/>
      <c r="BA156"/>
      <c r="BL156"/>
      <c r="BM156"/>
      <c r="BN156"/>
      <c r="BO156"/>
      <c r="BP156"/>
      <c r="BQ156"/>
    </row>
    <row r="157" spans="4:69" x14ac:dyDescent="0.25">
      <c r="D157"/>
      <c r="E157"/>
      <c r="F157"/>
      <c r="G157"/>
      <c r="J157"/>
      <c r="K157"/>
      <c r="L157"/>
      <c r="M157"/>
      <c r="O157"/>
      <c r="P157"/>
      <c r="Q157"/>
      <c r="R157"/>
      <c r="S157"/>
      <c r="T157"/>
      <c r="U157"/>
      <c r="V157"/>
      <c r="Y157"/>
      <c r="Z157"/>
      <c r="AA157"/>
      <c r="AB157"/>
      <c r="AF157"/>
      <c r="AG157"/>
      <c r="AH157"/>
      <c r="AI157"/>
      <c r="AJ157"/>
      <c r="AK157"/>
      <c r="AN157"/>
      <c r="AO157"/>
      <c r="AP157"/>
      <c r="AQ157"/>
      <c r="AR157"/>
      <c r="AS157"/>
      <c r="AV157"/>
      <c r="AW157"/>
      <c r="AX157"/>
      <c r="AY157"/>
      <c r="AZ157"/>
      <c r="BA157"/>
      <c r="BL157"/>
      <c r="BM157"/>
      <c r="BN157"/>
      <c r="BO157"/>
      <c r="BP157"/>
      <c r="BQ157"/>
    </row>
    <row r="158" spans="4:69" x14ac:dyDescent="0.25">
      <c r="D158"/>
      <c r="E158"/>
      <c r="F158"/>
      <c r="G158"/>
      <c r="J158"/>
      <c r="K158"/>
      <c r="L158"/>
      <c r="M158"/>
      <c r="O158"/>
      <c r="P158"/>
      <c r="Q158"/>
      <c r="R158"/>
      <c r="S158"/>
      <c r="T158"/>
      <c r="U158"/>
      <c r="V158"/>
      <c r="Y158"/>
      <c r="Z158"/>
      <c r="AA158"/>
      <c r="AB158"/>
      <c r="AF158"/>
      <c r="AG158"/>
      <c r="AH158"/>
      <c r="AI158"/>
      <c r="AJ158"/>
      <c r="AK158"/>
      <c r="AN158"/>
      <c r="AO158"/>
      <c r="AP158"/>
      <c r="AQ158"/>
      <c r="AR158"/>
      <c r="AS158"/>
      <c r="AV158"/>
      <c r="AW158"/>
      <c r="AX158"/>
      <c r="AY158"/>
      <c r="AZ158"/>
      <c r="BA158"/>
      <c r="BL158"/>
      <c r="BM158"/>
      <c r="BN158"/>
      <c r="BO158"/>
      <c r="BP158"/>
      <c r="BQ158"/>
    </row>
    <row r="159" spans="4:69" x14ac:dyDescent="0.25">
      <c r="D159"/>
      <c r="E159"/>
      <c r="F159"/>
      <c r="G159"/>
      <c r="J159"/>
      <c r="K159"/>
      <c r="L159"/>
      <c r="M159"/>
      <c r="O159"/>
      <c r="P159"/>
      <c r="Q159"/>
      <c r="R159"/>
      <c r="S159"/>
      <c r="T159"/>
      <c r="U159"/>
      <c r="V159"/>
      <c r="Y159"/>
      <c r="Z159"/>
      <c r="AA159"/>
      <c r="AB159"/>
      <c r="AF159"/>
      <c r="AG159"/>
      <c r="AH159"/>
      <c r="AI159"/>
      <c r="AJ159"/>
      <c r="AK159"/>
      <c r="AN159"/>
      <c r="AO159"/>
      <c r="AP159"/>
      <c r="AQ159"/>
      <c r="AR159"/>
      <c r="AS159"/>
      <c r="AV159"/>
      <c r="AW159"/>
      <c r="AX159"/>
      <c r="AY159"/>
      <c r="AZ159"/>
      <c r="BA159"/>
      <c r="BL159"/>
      <c r="BM159"/>
      <c r="BN159"/>
      <c r="BO159"/>
      <c r="BP159"/>
      <c r="BQ159"/>
    </row>
    <row r="160" spans="4:69" x14ac:dyDescent="0.25">
      <c r="D160"/>
      <c r="E160"/>
      <c r="F160"/>
      <c r="G160"/>
      <c r="J160"/>
      <c r="K160"/>
      <c r="L160"/>
      <c r="M160"/>
      <c r="O160"/>
      <c r="P160"/>
      <c r="Q160"/>
      <c r="R160"/>
      <c r="S160"/>
      <c r="T160"/>
      <c r="U160"/>
      <c r="V160"/>
      <c r="Y160"/>
      <c r="Z160"/>
      <c r="AA160"/>
      <c r="AB160"/>
      <c r="AF160"/>
      <c r="AG160"/>
      <c r="AH160"/>
      <c r="AI160"/>
      <c r="AJ160"/>
      <c r="AK160"/>
      <c r="AN160"/>
      <c r="AO160"/>
      <c r="AP160"/>
      <c r="AQ160"/>
      <c r="AR160"/>
      <c r="AS160"/>
      <c r="AV160"/>
      <c r="AW160"/>
      <c r="AX160"/>
      <c r="AY160"/>
      <c r="AZ160"/>
      <c r="BA160"/>
      <c r="BL160"/>
      <c r="BM160"/>
      <c r="BN160"/>
      <c r="BO160"/>
      <c r="BP160"/>
      <c r="BQ160"/>
    </row>
    <row r="161" spans="4:69" x14ac:dyDescent="0.25">
      <c r="D161"/>
      <c r="E161"/>
      <c r="F161"/>
      <c r="G161"/>
      <c r="J161"/>
      <c r="K161"/>
      <c r="L161"/>
      <c r="M161"/>
      <c r="O161"/>
      <c r="P161"/>
      <c r="Q161"/>
      <c r="R161"/>
      <c r="S161"/>
      <c r="T161"/>
      <c r="U161"/>
      <c r="V161"/>
      <c r="Y161"/>
      <c r="Z161"/>
      <c r="AA161"/>
      <c r="AB161"/>
      <c r="AF161"/>
      <c r="AG161"/>
      <c r="AH161"/>
      <c r="AI161"/>
      <c r="AJ161"/>
      <c r="AK161"/>
      <c r="AN161"/>
      <c r="AO161"/>
      <c r="AP161"/>
      <c r="AQ161"/>
      <c r="AR161"/>
      <c r="AS161"/>
      <c r="AV161"/>
      <c r="AW161"/>
      <c r="AX161"/>
      <c r="AY161"/>
      <c r="AZ161"/>
      <c r="BA161"/>
      <c r="BL161"/>
      <c r="BM161"/>
      <c r="BN161"/>
      <c r="BO161"/>
      <c r="BP161"/>
      <c r="BQ161"/>
    </row>
    <row r="162" spans="4:69" x14ac:dyDescent="0.25">
      <c r="D162"/>
      <c r="E162"/>
      <c r="F162"/>
      <c r="G162"/>
      <c r="J162"/>
      <c r="K162"/>
      <c r="L162"/>
      <c r="M162"/>
      <c r="O162"/>
      <c r="P162"/>
      <c r="Q162"/>
      <c r="R162"/>
      <c r="S162"/>
      <c r="T162"/>
      <c r="U162"/>
      <c r="V162"/>
      <c r="Y162"/>
      <c r="Z162"/>
      <c r="AA162"/>
      <c r="AB162"/>
      <c r="AF162"/>
      <c r="AG162"/>
      <c r="AH162"/>
      <c r="AI162"/>
      <c r="AJ162"/>
      <c r="AK162"/>
      <c r="AN162"/>
      <c r="AO162"/>
      <c r="AP162"/>
      <c r="AQ162"/>
      <c r="AR162"/>
      <c r="AS162"/>
      <c r="AV162"/>
      <c r="AW162"/>
      <c r="AX162"/>
      <c r="AY162"/>
      <c r="AZ162"/>
      <c r="BA162"/>
      <c r="BL162"/>
      <c r="BM162"/>
      <c r="BN162"/>
      <c r="BO162"/>
      <c r="BP162"/>
      <c r="BQ162"/>
    </row>
    <row r="163" spans="4:69" x14ac:dyDescent="0.25">
      <c r="D163"/>
      <c r="E163"/>
      <c r="F163"/>
      <c r="G163"/>
      <c r="J163"/>
      <c r="K163"/>
      <c r="L163"/>
      <c r="M163"/>
      <c r="O163"/>
      <c r="P163"/>
      <c r="Q163"/>
      <c r="R163"/>
      <c r="S163"/>
      <c r="T163"/>
      <c r="U163"/>
      <c r="V163"/>
      <c r="Y163"/>
      <c r="Z163"/>
      <c r="AA163"/>
      <c r="AB163"/>
      <c r="AF163"/>
      <c r="AG163"/>
      <c r="AH163"/>
      <c r="AI163"/>
      <c r="AJ163"/>
      <c r="AK163"/>
      <c r="AN163"/>
      <c r="AO163"/>
      <c r="AP163"/>
      <c r="AQ163"/>
      <c r="AR163"/>
      <c r="AS163"/>
      <c r="AV163"/>
      <c r="AW163"/>
      <c r="AX163"/>
      <c r="AY163"/>
      <c r="AZ163"/>
      <c r="BA163"/>
      <c r="BL163"/>
      <c r="BM163"/>
      <c r="BN163"/>
      <c r="BO163"/>
      <c r="BP163"/>
      <c r="BQ163"/>
    </row>
    <row r="164" spans="4:69" x14ac:dyDescent="0.25">
      <c r="D164"/>
      <c r="E164"/>
      <c r="F164"/>
      <c r="G164"/>
      <c r="J164"/>
      <c r="K164"/>
      <c r="L164"/>
      <c r="M164"/>
      <c r="O164"/>
      <c r="P164"/>
      <c r="Q164"/>
      <c r="R164"/>
      <c r="S164"/>
      <c r="T164"/>
      <c r="U164"/>
      <c r="V164"/>
      <c r="Y164"/>
      <c r="Z164"/>
      <c r="AA164"/>
      <c r="AB164"/>
      <c r="AF164"/>
      <c r="AG164"/>
      <c r="AH164"/>
      <c r="AI164"/>
      <c r="AJ164"/>
      <c r="AK164"/>
      <c r="AN164"/>
      <c r="AO164"/>
      <c r="AP164"/>
      <c r="AQ164"/>
      <c r="AR164"/>
      <c r="AS164"/>
      <c r="AV164"/>
      <c r="AW164"/>
      <c r="AX164"/>
      <c r="AY164"/>
      <c r="AZ164"/>
      <c r="BA164"/>
      <c r="BL164"/>
      <c r="BM164"/>
      <c r="BN164"/>
      <c r="BO164"/>
      <c r="BP164"/>
      <c r="BQ164"/>
    </row>
    <row r="165" spans="4:69" x14ac:dyDescent="0.25">
      <c r="D165"/>
      <c r="E165"/>
      <c r="F165"/>
      <c r="G165"/>
      <c r="J165"/>
      <c r="K165"/>
      <c r="L165"/>
      <c r="M165"/>
      <c r="O165"/>
      <c r="P165"/>
      <c r="Q165"/>
      <c r="R165"/>
      <c r="S165"/>
      <c r="T165"/>
      <c r="U165"/>
      <c r="V165"/>
      <c r="Y165"/>
      <c r="Z165"/>
      <c r="AA165"/>
      <c r="AB165"/>
      <c r="AF165"/>
      <c r="AG165"/>
      <c r="AH165"/>
      <c r="AI165"/>
      <c r="AJ165"/>
      <c r="AK165"/>
      <c r="AN165"/>
      <c r="AO165"/>
      <c r="AP165"/>
      <c r="AQ165"/>
      <c r="AR165"/>
      <c r="AS165"/>
      <c r="AV165"/>
      <c r="AW165"/>
      <c r="AX165"/>
      <c r="AY165"/>
      <c r="AZ165"/>
      <c r="BA165"/>
      <c r="BL165"/>
      <c r="BM165"/>
      <c r="BN165"/>
      <c r="BO165"/>
      <c r="BP165"/>
      <c r="BQ165"/>
    </row>
    <row r="166" spans="4:69" x14ac:dyDescent="0.25">
      <c r="D166"/>
      <c r="E166"/>
      <c r="F166"/>
      <c r="G166"/>
      <c r="J166"/>
      <c r="K166"/>
      <c r="L166"/>
      <c r="M166"/>
      <c r="O166"/>
      <c r="P166"/>
      <c r="Q166"/>
      <c r="R166"/>
      <c r="S166"/>
      <c r="T166"/>
      <c r="U166"/>
      <c r="V166"/>
      <c r="Y166"/>
      <c r="Z166"/>
      <c r="AA166"/>
      <c r="AB166"/>
      <c r="AF166"/>
      <c r="AG166"/>
      <c r="AH166"/>
      <c r="AI166"/>
      <c r="AJ166"/>
      <c r="AK166"/>
      <c r="AN166"/>
      <c r="AO166"/>
      <c r="AP166"/>
      <c r="AQ166"/>
      <c r="AR166"/>
      <c r="AS166"/>
      <c r="AV166"/>
      <c r="AW166"/>
      <c r="AX166"/>
      <c r="AY166"/>
      <c r="AZ166"/>
      <c r="BA166"/>
      <c r="BL166"/>
      <c r="BM166"/>
      <c r="BN166"/>
      <c r="BO166"/>
      <c r="BP166"/>
      <c r="BQ166"/>
    </row>
    <row r="167" spans="4:69" x14ac:dyDescent="0.25">
      <c r="D167"/>
      <c r="E167"/>
      <c r="F167"/>
      <c r="G167"/>
      <c r="J167"/>
      <c r="K167"/>
      <c r="L167"/>
      <c r="M167"/>
      <c r="O167"/>
      <c r="P167"/>
      <c r="Q167"/>
      <c r="R167"/>
      <c r="S167"/>
      <c r="T167"/>
      <c r="U167"/>
      <c r="V167"/>
      <c r="Y167"/>
      <c r="Z167"/>
      <c r="AA167"/>
      <c r="AB167"/>
      <c r="AF167"/>
      <c r="AG167"/>
      <c r="AH167"/>
      <c r="AI167"/>
      <c r="AJ167"/>
      <c r="AK167"/>
      <c r="AN167"/>
      <c r="AO167"/>
      <c r="AP167"/>
      <c r="AQ167"/>
      <c r="AR167"/>
      <c r="AS167"/>
      <c r="AV167"/>
      <c r="AW167"/>
      <c r="AX167"/>
      <c r="AY167"/>
      <c r="AZ167"/>
      <c r="BA167"/>
      <c r="BL167"/>
      <c r="BM167"/>
      <c r="BN167"/>
      <c r="BO167"/>
      <c r="BP167"/>
      <c r="BQ167"/>
    </row>
    <row r="168" spans="4:69" x14ac:dyDescent="0.25">
      <c r="D168"/>
      <c r="E168"/>
      <c r="F168"/>
      <c r="G168"/>
      <c r="J168"/>
      <c r="K168"/>
      <c r="L168"/>
      <c r="M168"/>
      <c r="O168"/>
      <c r="P168"/>
      <c r="Q168"/>
      <c r="R168"/>
      <c r="S168"/>
      <c r="T168"/>
      <c r="U168"/>
      <c r="V168"/>
      <c r="Y168"/>
      <c r="Z168"/>
      <c r="AA168"/>
      <c r="AB168"/>
      <c r="AF168"/>
      <c r="AG168"/>
      <c r="AH168"/>
      <c r="AI168"/>
      <c r="AJ168"/>
      <c r="AK168"/>
      <c r="AN168"/>
      <c r="AO168"/>
      <c r="AP168"/>
      <c r="AQ168"/>
      <c r="AR168"/>
      <c r="AS168"/>
      <c r="AV168"/>
      <c r="AW168"/>
      <c r="AX168"/>
      <c r="AY168"/>
      <c r="AZ168"/>
      <c r="BA168"/>
      <c r="BL168"/>
      <c r="BM168"/>
      <c r="BN168"/>
      <c r="BO168"/>
      <c r="BP168"/>
      <c r="BQ168"/>
    </row>
    <row r="169" spans="4:69" x14ac:dyDescent="0.25">
      <c r="D169"/>
      <c r="E169"/>
      <c r="F169"/>
      <c r="G169"/>
      <c r="J169"/>
      <c r="K169"/>
      <c r="L169"/>
      <c r="M169"/>
      <c r="O169"/>
      <c r="P169"/>
      <c r="Q169"/>
      <c r="R169"/>
      <c r="S169"/>
      <c r="T169"/>
      <c r="U169"/>
      <c r="V169"/>
      <c r="Y169"/>
      <c r="Z169"/>
      <c r="AA169"/>
      <c r="AB169"/>
      <c r="AF169"/>
      <c r="AG169"/>
      <c r="AH169"/>
      <c r="AI169"/>
      <c r="AJ169"/>
      <c r="AK169"/>
      <c r="AN169"/>
      <c r="AO169"/>
      <c r="AP169"/>
      <c r="AQ169"/>
      <c r="AR169"/>
      <c r="AS169"/>
      <c r="AV169"/>
      <c r="AW169"/>
      <c r="AX169"/>
      <c r="AY169"/>
      <c r="AZ169"/>
      <c r="BA169"/>
      <c r="BL169"/>
      <c r="BM169"/>
      <c r="BN169"/>
      <c r="BO169"/>
      <c r="BP169"/>
      <c r="BQ169"/>
    </row>
    <row r="170" spans="4:69" x14ac:dyDescent="0.25">
      <c r="D170"/>
      <c r="E170"/>
      <c r="F170"/>
      <c r="G170"/>
      <c r="J170"/>
      <c r="K170"/>
      <c r="L170"/>
      <c r="M170"/>
      <c r="O170"/>
      <c r="P170"/>
      <c r="Q170"/>
      <c r="R170"/>
      <c r="S170"/>
      <c r="T170"/>
      <c r="U170"/>
      <c r="V170"/>
      <c r="Y170"/>
      <c r="Z170"/>
      <c r="AA170"/>
      <c r="AB170"/>
      <c r="AF170"/>
      <c r="AG170"/>
      <c r="AH170"/>
      <c r="AI170"/>
      <c r="AJ170"/>
      <c r="AK170"/>
      <c r="AN170"/>
      <c r="AO170"/>
      <c r="AP170"/>
      <c r="AQ170"/>
      <c r="AR170"/>
      <c r="AS170"/>
      <c r="AV170"/>
      <c r="AW170"/>
      <c r="AX170"/>
      <c r="AY170"/>
      <c r="AZ170"/>
      <c r="BA170"/>
      <c r="BL170"/>
      <c r="BM170"/>
      <c r="BN170"/>
      <c r="BO170"/>
      <c r="BP170"/>
      <c r="BQ170"/>
    </row>
    <row r="171" spans="4:69" x14ac:dyDescent="0.25">
      <c r="D171"/>
      <c r="E171"/>
      <c r="F171"/>
      <c r="G171"/>
      <c r="J171"/>
      <c r="K171"/>
      <c r="L171"/>
      <c r="M171"/>
      <c r="O171"/>
      <c r="P171"/>
      <c r="Q171"/>
      <c r="R171"/>
      <c r="S171"/>
      <c r="T171"/>
      <c r="U171"/>
      <c r="V171"/>
      <c r="Y171"/>
      <c r="Z171"/>
      <c r="AA171"/>
      <c r="AB171"/>
      <c r="AF171"/>
      <c r="AG171"/>
      <c r="AH171"/>
      <c r="AI171"/>
      <c r="AJ171"/>
      <c r="AK171"/>
      <c r="AN171"/>
      <c r="AO171"/>
      <c r="AP171"/>
      <c r="AQ171"/>
      <c r="AR171"/>
      <c r="AS171"/>
      <c r="AV171"/>
      <c r="AW171"/>
      <c r="AX171"/>
      <c r="AY171"/>
      <c r="AZ171"/>
      <c r="BA171"/>
      <c r="BL171"/>
      <c r="BM171"/>
      <c r="BN171"/>
      <c r="BO171"/>
      <c r="BP171"/>
      <c r="BQ171"/>
    </row>
    <row r="172" spans="4:69" x14ac:dyDescent="0.25">
      <c r="D172"/>
      <c r="E172"/>
      <c r="F172"/>
      <c r="G172"/>
      <c r="J172"/>
      <c r="K172"/>
      <c r="L172"/>
      <c r="M172"/>
      <c r="O172"/>
      <c r="P172"/>
      <c r="Q172"/>
      <c r="R172"/>
      <c r="S172"/>
      <c r="T172"/>
      <c r="U172"/>
      <c r="V172"/>
      <c r="Y172"/>
      <c r="Z172"/>
      <c r="AA172"/>
      <c r="AB172"/>
      <c r="AF172"/>
      <c r="AG172"/>
      <c r="AH172"/>
      <c r="AI172"/>
      <c r="AJ172"/>
      <c r="AK172"/>
      <c r="AN172"/>
      <c r="AO172"/>
      <c r="AP172"/>
      <c r="AQ172"/>
      <c r="AR172"/>
      <c r="AS172"/>
      <c r="AV172"/>
      <c r="AW172"/>
      <c r="AX172"/>
      <c r="AY172"/>
      <c r="AZ172"/>
      <c r="BA172"/>
      <c r="BL172"/>
      <c r="BM172"/>
      <c r="BN172"/>
      <c r="BO172"/>
      <c r="BP172"/>
      <c r="BQ172"/>
    </row>
    <row r="173" spans="4:69" x14ac:dyDescent="0.25">
      <c r="D173"/>
      <c r="E173"/>
      <c r="F173"/>
      <c r="G173"/>
      <c r="J173"/>
      <c r="K173"/>
      <c r="L173"/>
      <c r="M173"/>
      <c r="O173"/>
      <c r="P173"/>
      <c r="Q173"/>
      <c r="R173"/>
      <c r="S173"/>
      <c r="T173"/>
      <c r="U173"/>
      <c r="V173"/>
      <c r="Y173"/>
      <c r="Z173"/>
      <c r="AA173"/>
      <c r="AB173"/>
      <c r="AF173"/>
      <c r="AG173"/>
      <c r="AH173"/>
      <c r="AI173"/>
      <c r="AJ173"/>
      <c r="AK173"/>
      <c r="AN173"/>
      <c r="AO173"/>
      <c r="AP173"/>
      <c r="AQ173"/>
      <c r="AR173"/>
      <c r="AS173"/>
      <c r="AV173"/>
      <c r="AW173"/>
      <c r="AX173"/>
      <c r="AY173"/>
      <c r="AZ173"/>
      <c r="BA173"/>
      <c r="BL173"/>
      <c r="BM173"/>
      <c r="BN173"/>
      <c r="BO173"/>
      <c r="BP173"/>
      <c r="BQ173"/>
    </row>
    <row r="174" spans="4:69" x14ac:dyDescent="0.25">
      <c r="D174"/>
      <c r="E174"/>
      <c r="F174"/>
      <c r="G174"/>
      <c r="J174"/>
      <c r="K174"/>
      <c r="L174"/>
      <c r="M174"/>
      <c r="O174"/>
      <c r="P174"/>
      <c r="Q174"/>
      <c r="R174"/>
      <c r="S174"/>
      <c r="T174"/>
      <c r="U174"/>
      <c r="V174"/>
      <c r="Y174"/>
      <c r="Z174"/>
      <c r="AA174"/>
      <c r="AB174"/>
      <c r="AF174"/>
      <c r="AG174"/>
      <c r="AH174"/>
      <c r="AI174"/>
      <c r="AJ174"/>
      <c r="AK174"/>
      <c r="AN174"/>
      <c r="AO174"/>
      <c r="AP174"/>
      <c r="AQ174"/>
      <c r="AR174"/>
      <c r="AS174"/>
      <c r="AV174"/>
      <c r="AW174"/>
      <c r="AX174"/>
      <c r="AY174"/>
      <c r="AZ174"/>
      <c r="BA174"/>
      <c r="BL174"/>
      <c r="BM174"/>
      <c r="BN174"/>
      <c r="BO174"/>
      <c r="BP174"/>
      <c r="BQ174"/>
    </row>
    <row r="175" spans="4:69" x14ac:dyDescent="0.25">
      <c r="D175"/>
      <c r="E175"/>
      <c r="F175"/>
      <c r="G175"/>
      <c r="J175"/>
      <c r="K175"/>
      <c r="L175"/>
      <c r="M175"/>
      <c r="O175"/>
      <c r="P175"/>
      <c r="Q175"/>
      <c r="R175"/>
      <c r="S175"/>
      <c r="T175"/>
      <c r="U175"/>
      <c r="V175"/>
      <c r="Y175"/>
      <c r="Z175"/>
      <c r="AA175"/>
      <c r="AB175"/>
      <c r="AF175"/>
      <c r="AG175"/>
      <c r="AH175"/>
      <c r="AI175"/>
      <c r="AJ175"/>
      <c r="AK175"/>
      <c r="AN175"/>
      <c r="AO175"/>
      <c r="AP175"/>
      <c r="AQ175"/>
      <c r="AR175"/>
      <c r="AS175"/>
      <c r="AV175"/>
      <c r="AW175"/>
      <c r="AX175"/>
      <c r="AY175"/>
      <c r="AZ175"/>
      <c r="BA175"/>
      <c r="BL175"/>
      <c r="BM175"/>
      <c r="BN175"/>
      <c r="BO175"/>
      <c r="BP175"/>
      <c r="BQ175"/>
    </row>
    <row r="176" spans="4:69" x14ac:dyDescent="0.25">
      <c r="D176"/>
      <c r="E176"/>
      <c r="F176"/>
      <c r="G176"/>
      <c r="J176"/>
      <c r="K176"/>
      <c r="L176"/>
      <c r="M176"/>
      <c r="O176"/>
      <c r="P176"/>
      <c r="Q176"/>
      <c r="R176"/>
      <c r="S176"/>
      <c r="T176"/>
      <c r="U176"/>
      <c r="V176"/>
      <c r="Y176"/>
      <c r="Z176"/>
      <c r="AA176"/>
      <c r="AB176"/>
      <c r="AF176"/>
      <c r="AG176"/>
      <c r="AH176"/>
      <c r="AI176"/>
      <c r="AJ176"/>
      <c r="AK176"/>
      <c r="AN176"/>
      <c r="AO176"/>
      <c r="AP176"/>
      <c r="AQ176"/>
      <c r="AR176"/>
      <c r="AS176"/>
      <c r="AV176"/>
      <c r="AW176"/>
      <c r="AX176"/>
      <c r="AY176"/>
      <c r="AZ176"/>
      <c r="BA176"/>
      <c r="BL176"/>
      <c r="BM176"/>
      <c r="BN176"/>
      <c r="BO176"/>
      <c r="BP176"/>
      <c r="BQ176"/>
    </row>
    <row r="177" spans="4:69" x14ac:dyDescent="0.25">
      <c r="D177"/>
      <c r="E177"/>
      <c r="F177"/>
      <c r="G177"/>
      <c r="J177"/>
      <c r="K177"/>
      <c r="L177"/>
      <c r="M177"/>
      <c r="O177"/>
      <c r="P177"/>
      <c r="Q177"/>
      <c r="R177"/>
      <c r="S177"/>
      <c r="T177"/>
      <c r="U177"/>
      <c r="V177"/>
      <c r="Y177"/>
      <c r="Z177"/>
      <c r="AA177"/>
      <c r="AB177"/>
      <c r="AF177"/>
      <c r="AG177"/>
      <c r="AH177"/>
      <c r="AI177"/>
      <c r="AJ177"/>
      <c r="AK177"/>
      <c r="AN177"/>
      <c r="AO177"/>
      <c r="AP177"/>
      <c r="AQ177"/>
      <c r="AR177"/>
      <c r="AS177"/>
      <c r="AV177"/>
      <c r="AW177"/>
      <c r="AX177"/>
      <c r="AY177"/>
      <c r="AZ177"/>
      <c r="BA177"/>
      <c r="BL177"/>
      <c r="BM177"/>
      <c r="BN177"/>
      <c r="BO177"/>
      <c r="BP177"/>
      <c r="BQ177"/>
    </row>
    <row r="178" spans="4:69" x14ac:dyDescent="0.25">
      <c r="D178"/>
      <c r="E178"/>
      <c r="F178"/>
      <c r="G178"/>
      <c r="J178"/>
      <c r="K178"/>
      <c r="L178"/>
      <c r="M178"/>
      <c r="O178"/>
      <c r="P178"/>
      <c r="Q178"/>
      <c r="R178"/>
      <c r="S178"/>
      <c r="T178"/>
      <c r="U178"/>
      <c r="V178"/>
      <c r="Y178"/>
      <c r="Z178"/>
      <c r="AA178"/>
      <c r="AB178"/>
      <c r="AF178"/>
      <c r="AG178"/>
      <c r="AH178"/>
      <c r="AI178"/>
      <c r="AJ178"/>
      <c r="AK178"/>
      <c r="AN178"/>
      <c r="AO178"/>
      <c r="AP178"/>
      <c r="AQ178"/>
      <c r="AR178"/>
      <c r="AS178"/>
      <c r="AV178"/>
      <c r="AW178"/>
      <c r="AX178"/>
      <c r="AY178"/>
      <c r="AZ178"/>
      <c r="BA178"/>
      <c r="BL178"/>
      <c r="BM178"/>
      <c r="BN178"/>
      <c r="BO178"/>
      <c r="BP178"/>
      <c r="BQ178"/>
    </row>
    <row r="179" spans="4:69" x14ac:dyDescent="0.25">
      <c r="D179"/>
      <c r="E179"/>
      <c r="F179"/>
      <c r="G179"/>
      <c r="J179"/>
      <c r="K179"/>
      <c r="L179"/>
      <c r="M179"/>
      <c r="O179"/>
      <c r="P179"/>
      <c r="Q179"/>
      <c r="R179"/>
      <c r="S179"/>
      <c r="T179"/>
      <c r="U179"/>
      <c r="V179"/>
      <c r="Y179"/>
      <c r="Z179"/>
      <c r="AA179"/>
      <c r="AB179"/>
      <c r="AF179"/>
      <c r="AG179"/>
      <c r="AH179"/>
      <c r="AI179"/>
      <c r="AJ179"/>
      <c r="AK179"/>
      <c r="AN179"/>
      <c r="AO179"/>
      <c r="AP179"/>
      <c r="AQ179"/>
      <c r="AR179"/>
      <c r="AS179"/>
      <c r="AV179"/>
      <c r="AW179"/>
      <c r="AX179"/>
      <c r="AY179"/>
      <c r="AZ179"/>
      <c r="BA179"/>
      <c r="BL179"/>
      <c r="BM179"/>
      <c r="BN179"/>
      <c r="BO179"/>
      <c r="BP179"/>
      <c r="BQ179"/>
    </row>
    <row r="180" spans="4:69" x14ac:dyDescent="0.25">
      <c r="D180"/>
      <c r="E180"/>
      <c r="F180"/>
      <c r="G180"/>
      <c r="J180"/>
      <c r="K180"/>
      <c r="L180"/>
      <c r="M180"/>
      <c r="O180"/>
      <c r="P180"/>
      <c r="Q180"/>
      <c r="R180"/>
      <c r="S180"/>
      <c r="T180"/>
      <c r="U180"/>
      <c r="V180"/>
      <c r="Y180"/>
      <c r="Z180"/>
      <c r="AA180"/>
      <c r="AB180"/>
      <c r="AF180"/>
      <c r="AG180"/>
      <c r="AH180"/>
      <c r="AI180"/>
      <c r="AJ180"/>
      <c r="AK180"/>
      <c r="AN180"/>
      <c r="AO180"/>
      <c r="AP180"/>
      <c r="AQ180"/>
      <c r="AR180"/>
      <c r="AS180"/>
      <c r="AV180"/>
      <c r="AW180"/>
      <c r="AX180"/>
      <c r="AY180"/>
      <c r="AZ180"/>
      <c r="BA180"/>
      <c r="BL180"/>
      <c r="BM180"/>
      <c r="BN180"/>
      <c r="BO180"/>
      <c r="BP180"/>
      <c r="BQ180"/>
    </row>
    <row r="181" spans="4:69" x14ac:dyDescent="0.25">
      <c r="D181"/>
      <c r="E181"/>
      <c r="F181"/>
      <c r="G181"/>
      <c r="J181"/>
      <c r="K181"/>
      <c r="L181"/>
      <c r="M181"/>
      <c r="O181"/>
      <c r="P181"/>
      <c r="Q181"/>
      <c r="R181"/>
      <c r="S181"/>
      <c r="T181"/>
      <c r="U181"/>
      <c r="V181"/>
      <c r="Y181"/>
      <c r="Z181"/>
      <c r="AA181"/>
      <c r="AB181"/>
      <c r="AF181"/>
      <c r="AG181"/>
      <c r="AH181"/>
      <c r="AI181"/>
      <c r="AJ181"/>
      <c r="AK181"/>
      <c r="AN181"/>
      <c r="AO181"/>
      <c r="AP181"/>
      <c r="AQ181"/>
      <c r="AR181"/>
      <c r="AS181"/>
      <c r="AV181"/>
      <c r="AW181"/>
      <c r="AX181"/>
      <c r="AY181"/>
      <c r="AZ181"/>
      <c r="BA181"/>
      <c r="BL181"/>
      <c r="BM181"/>
      <c r="BN181"/>
      <c r="BO181"/>
      <c r="BP181"/>
      <c r="BQ181"/>
    </row>
    <row r="182" spans="4:69" x14ac:dyDescent="0.25">
      <c r="D182"/>
      <c r="E182"/>
      <c r="F182"/>
      <c r="G182"/>
      <c r="J182"/>
      <c r="K182"/>
      <c r="L182"/>
      <c r="M182"/>
      <c r="O182"/>
      <c r="P182"/>
      <c r="Q182"/>
      <c r="R182"/>
      <c r="S182"/>
      <c r="T182"/>
      <c r="U182"/>
      <c r="V182"/>
      <c r="Y182"/>
      <c r="Z182"/>
      <c r="AA182"/>
      <c r="AB182"/>
      <c r="AF182"/>
      <c r="AG182"/>
      <c r="AH182"/>
      <c r="AI182"/>
      <c r="AJ182"/>
      <c r="AK182"/>
      <c r="AN182"/>
      <c r="AO182"/>
      <c r="AP182"/>
      <c r="AQ182"/>
      <c r="AR182"/>
      <c r="AS182"/>
      <c r="AV182"/>
      <c r="AW182"/>
      <c r="AX182"/>
      <c r="AY182"/>
      <c r="AZ182"/>
      <c r="BA182"/>
      <c r="BL182"/>
      <c r="BM182"/>
      <c r="BN182"/>
      <c r="BO182"/>
      <c r="BP182"/>
      <c r="BQ182"/>
    </row>
    <row r="183" spans="4:69" x14ac:dyDescent="0.25">
      <c r="D183"/>
      <c r="E183"/>
      <c r="F183"/>
      <c r="G183"/>
      <c r="J183"/>
      <c r="K183"/>
      <c r="L183"/>
      <c r="M183"/>
      <c r="O183"/>
      <c r="P183"/>
      <c r="Q183"/>
      <c r="R183"/>
      <c r="S183"/>
      <c r="T183"/>
      <c r="U183"/>
      <c r="V183"/>
      <c r="Y183"/>
      <c r="Z183"/>
      <c r="AA183"/>
      <c r="AB183"/>
      <c r="AF183"/>
      <c r="AG183"/>
      <c r="AH183"/>
      <c r="AI183"/>
      <c r="AJ183"/>
      <c r="AK183"/>
      <c r="AN183"/>
      <c r="AO183"/>
      <c r="AP183"/>
      <c r="AQ183"/>
      <c r="AR183"/>
      <c r="AS183"/>
      <c r="AV183"/>
      <c r="AW183"/>
      <c r="AX183"/>
      <c r="AY183"/>
      <c r="AZ183"/>
      <c r="BA183"/>
      <c r="BL183"/>
      <c r="BM183"/>
      <c r="BN183"/>
      <c r="BO183"/>
      <c r="BP183"/>
      <c r="BQ183"/>
    </row>
    <row r="184" spans="4:69" x14ac:dyDescent="0.25">
      <c r="D184"/>
      <c r="E184"/>
      <c r="F184"/>
      <c r="G184"/>
      <c r="J184"/>
      <c r="K184"/>
      <c r="L184"/>
      <c r="M184"/>
      <c r="O184"/>
      <c r="P184"/>
      <c r="Q184"/>
      <c r="R184"/>
      <c r="S184"/>
      <c r="T184"/>
      <c r="U184"/>
      <c r="V184"/>
      <c r="Y184"/>
      <c r="Z184"/>
      <c r="AA184"/>
      <c r="AB184"/>
      <c r="AF184"/>
      <c r="AG184"/>
      <c r="AH184"/>
      <c r="AI184"/>
      <c r="AJ184"/>
      <c r="AK184"/>
      <c r="AN184"/>
      <c r="AO184"/>
      <c r="AP184"/>
      <c r="AQ184"/>
      <c r="AR184"/>
      <c r="AS184"/>
      <c r="AV184"/>
      <c r="AW184"/>
      <c r="AX184"/>
      <c r="AY184"/>
      <c r="AZ184"/>
      <c r="BA184"/>
      <c r="BL184"/>
      <c r="BM184"/>
      <c r="BN184"/>
      <c r="BO184"/>
      <c r="BP184"/>
      <c r="BQ184"/>
    </row>
    <row r="185" spans="4:69" x14ac:dyDescent="0.25">
      <c r="D185"/>
      <c r="E185"/>
      <c r="F185"/>
      <c r="G185"/>
      <c r="J185"/>
      <c r="K185"/>
      <c r="L185"/>
      <c r="M185"/>
      <c r="O185"/>
      <c r="P185"/>
      <c r="Q185"/>
      <c r="R185"/>
      <c r="S185"/>
      <c r="T185"/>
      <c r="U185"/>
      <c r="V185"/>
      <c r="Y185"/>
      <c r="Z185"/>
      <c r="AA185"/>
      <c r="AB185"/>
      <c r="AF185"/>
      <c r="AG185"/>
      <c r="AH185"/>
      <c r="AI185"/>
      <c r="AJ185"/>
      <c r="AK185"/>
      <c r="AN185"/>
      <c r="AO185"/>
      <c r="AP185"/>
      <c r="AQ185"/>
      <c r="AR185"/>
      <c r="AS185"/>
      <c r="AV185"/>
      <c r="AW185"/>
      <c r="AX185"/>
      <c r="AY185"/>
      <c r="AZ185"/>
      <c r="BA185"/>
      <c r="BL185"/>
      <c r="BM185"/>
      <c r="BN185"/>
      <c r="BO185"/>
      <c r="BP185"/>
      <c r="BQ185"/>
    </row>
    <row r="186" spans="4:69" x14ac:dyDescent="0.25">
      <c r="D186"/>
      <c r="E186"/>
      <c r="F186"/>
      <c r="G186"/>
      <c r="J186"/>
      <c r="K186"/>
      <c r="L186"/>
      <c r="M186"/>
      <c r="O186"/>
      <c r="P186"/>
      <c r="Q186"/>
      <c r="R186"/>
      <c r="S186"/>
      <c r="T186"/>
      <c r="U186"/>
      <c r="V186"/>
      <c r="Y186"/>
      <c r="Z186"/>
      <c r="AA186"/>
      <c r="AB186"/>
      <c r="AF186"/>
      <c r="AG186"/>
      <c r="AH186"/>
      <c r="AI186"/>
      <c r="AJ186"/>
      <c r="AK186"/>
      <c r="AN186"/>
      <c r="AO186"/>
      <c r="AP186"/>
      <c r="AQ186"/>
      <c r="AR186"/>
      <c r="AS186"/>
      <c r="AV186"/>
      <c r="AW186"/>
      <c r="AX186"/>
      <c r="AY186"/>
      <c r="AZ186"/>
      <c r="BA186"/>
      <c r="BL186"/>
      <c r="BM186"/>
      <c r="BN186"/>
      <c r="BO186"/>
      <c r="BP186"/>
      <c r="BQ186"/>
    </row>
    <row r="187" spans="4:69" x14ac:dyDescent="0.25">
      <c r="D187"/>
      <c r="E187"/>
      <c r="F187"/>
      <c r="G187"/>
      <c r="J187"/>
      <c r="K187"/>
      <c r="L187"/>
      <c r="M187"/>
      <c r="O187"/>
      <c r="P187"/>
      <c r="Q187"/>
      <c r="R187"/>
      <c r="S187"/>
      <c r="T187"/>
      <c r="U187"/>
      <c r="V187"/>
      <c r="Y187"/>
      <c r="Z187"/>
      <c r="AA187"/>
      <c r="AB187"/>
      <c r="AF187"/>
      <c r="AG187"/>
      <c r="AH187"/>
      <c r="AI187"/>
      <c r="AJ187"/>
      <c r="AK187"/>
      <c r="AN187"/>
      <c r="AO187"/>
      <c r="AP187"/>
      <c r="AQ187"/>
      <c r="AR187"/>
      <c r="AS187"/>
      <c r="AV187"/>
      <c r="AW187"/>
      <c r="AX187"/>
      <c r="AY187"/>
      <c r="AZ187"/>
      <c r="BA187"/>
      <c r="BL187"/>
      <c r="BM187"/>
      <c r="BN187"/>
      <c r="BO187"/>
      <c r="BP187"/>
      <c r="BQ187"/>
    </row>
    <row r="188" spans="4:69" x14ac:dyDescent="0.25">
      <c r="D188"/>
      <c r="E188"/>
      <c r="F188"/>
      <c r="G188"/>
      <c r="J188"/>
      <c r="K188"/>
      <c r="L188"/>
      <c r="M188"/>
      <c r="O188"/>
      <c r="P188"/>
      <c r="Q188"/>
      <c r="R188"/>
      <c r="S188"/>
      <c r="T188"/>
      <c r="U188"/>
      <c r="V188"/>
      <c r="Y188"/>
      <c r="Z188"/>
      <c r="AA188"/>
      <c r="AB188"/>
      <c r="AF188"/>
      <c r="AG188"/>
      <c r="AH188"/>
      <c r="AI188"/>
      <c r="AJ188"/>
      <c r="AK188"/>
      <c r="AN188"/>
      <c r="AO188"/>
      <c r="AP188"/>
      <c r="AQ188"/>
      <c r="AR188"/>
      <c r="AS188"/>
      <c r="AV188"/>
      <c r="AW188"/>
      <c r="AX188"/>
      <c r="AY188"/>
      <c r="AZ188"/>
      <c r="BA188"/>
      <c r="BL188"/>
      <c r="BM188"/>
      <c r="BN188"/>
      <c r="BO188"/>
      <c r="BP188"/>
      <c r="BQ188"/>
    </row>
    <row r="189" spans="4:69" x14ac:dyDescent="0.25">
      <c r="D189"/>
      <c r="E189"/>
      <c r="F189"/>
      <c r="G189"/>
      <c r="J189"/>
      <c r="K189"/>
      <c r="L189"/>
      <c r="M189"/>
      <c r="O189"/>
      <c r="P189"/>
      <c r="Q189"/>
      <c r="R189"/>
      <c r="S189"/>
      <c r="T189"/>
      <c r="U189"/>
      <c r="V189"/>
      <c r="Y189"/>
      <c r="Z189"/>
      <c r="AA189"/>
      <c r="AB189"/>
      <c r="AF189"/>
      <c r="AG189"/>
      <c r="AH189"/>
      <c r="AI189"/>
      <c r="AJ189"/>
      <c r="AK189"/>
      <c r="AN189"/>
      <c r="AO189"/>
      <c r="AP189"/>
      <c r="AQ189"/>
      <c r="AR189"/>
      <c r="AS189"/>
      <c r="AV189"/>
      <c r="AW189"/>
      <c r="AX189"/>
      <c r="AY189"/>
      <c r="AZ189"/>
      <c r="BA189"/>
      <c r="BL189"/>
      <c r="BM189"/>
      <c r="BN189"/>
      <c r="BO189"/>
      <c r="BP189"/>
      <c r="BQ189"/>
    </row>
    <row r="190" spans="4:69" x14ac:dyDescent="0.25">
      <c r="D190"/>
      <c r="E190"/>
      <c r="F190"/>
      <c r="G190"/>
      <c r="J190"/>
      <c r="K190"/>
      <c r="L190"/>
      <c r="M190"/>
      <c r="O190"/>
      <c r="P190"/>
      <c r="Q190"/>
      <c r="R190"/>
      <c r="S190"/>
      <c r="T190"/>
      <c r="U190"/>
      <c r="V190"/>
      <c r="Y190"/>
      <c r="Z190"/>
      <c r="AA190"/>
      <c r="AB190"/>
      <c r="AF190"/>
      <c r="AG190"/>
      <c r="AH190"/>
      <c r="AI190"/>
      <c r="AJ190"/>
      <c r="AK190"/>
      <c r="AN190"/>
      <c r="AO190"/>
      <c r="AP190"/>
      <c r="AQ190"/>
      <c r="AR190"/>
      <c r="AS190"/>
      <c r="AV190"/>
      <c r="AW190"/>
      <c r="AX190"/>
      <c r="AY190"/>
      <c r="AZ190"/>
      <c r="BA190"/>
      <c r="BL190"/>
      <c r="BM190"/>
      <c r="BN190"/>
      <c r="BO190"/>
      <c r="BP190"/>
      <c r="BQ190"/>
    </row>
    <row r="191" spans="4:69" x14ac:dyDescent="0.25">
      <c r="D191"/>
      <c r="E191"/>
      <c r="F191"/>
      <c r="G191"/>
      <c r="J191"/>
      <c r="K191"/>
      <c r="L191"/>
      <c r="M191"/>
      <c r="O191"/>
      <c r="P191"/>
      <c r="Q191"/>
      <c r="R191"/>
      <c r="S191"/>
      <c r="T191"/>
      <c r="U191"/>
      <c r="V191"/>
      <c r="Y191"/>
      <c r="Z191"/>
      <c r="AA191"/>
      <c r="AB191"/>
      <c r="AF191"/>
      <c r="AG191"/>
      <c r="AH191"/>
      <c r="AI191"/>
      <c r="AJ191"/>
      <c r="AK191"/>
      <c r="AN191"/>
      <c r="AO191"/>
      <c r="AP191"/>
      <c r="AQ191"/>
      <c r="AR191"/>
      <c r="AS191"/>
      <c r="AV191"/>
      <c r="AW191"/>
      <c r="AX191"/>
      <c r="AY191"/>
      <c r="AZ191"/>
      <c r="BA191"/>
      <c r="BL191"/>
      <c r="BM191"/>
      <c r="BN191"/>
      <c r="BO191"/>
      <c r="BP191"/>
      <c r="BQ191"/>
    </row>
    <row r="192" spans="4:69" x14ac:dyDescent="0.25">
      <c r="D192"/>
      <c r="E192"/>
      <c r="F192"/>
      <c r="G192"/>
      <c r="J192"/>
      <c r="K192"/>
      <c r="L192"/>
      <c r="M192"/>
      <c r="O192"/>
      <c r="P192"/>
      <c r="Q192"/>
      <c r="R192"/>
      <c r="S192"/>
      <c r="T192"/>
      <c r="U192"/>
      <c r="V192"/>
      <c r="Y192"/>
      <c r="Z192"/>
      <c r="AA192"/>
      <c r="AB192"/>
      <c r="AF192"/>
      <c r="AG192"/>
      <c r="AH192"/>
      <c r="AI192"/>
      <c r="AJ192"/>
      <c r="AK192"/>
      <c r="AN192"/>
      <c r="AO192"/>
      <c r="AP192"/>
      <c r="AQ192"/>
      <c r="AR192"/>
      <c r="AS192"/>
      <c r="AV192"/>
      <c r="AW192"/>
      <c r="AX192"/>
      <c r="AY192"/>
      <c r="AZ192"/>
      <c r="BA192"/>
      <c r="BL192"/>
      <c r="BM192"/>
      <c r="BN192"/>
      <c r="BO192"/>
      <c r="BP192"/>
      <c r="BQ192"/>
    </row>
    <row r="193" spans="4:69" x14ac:dyDescent="0.25">
      <c r="D193"/>
      <c r="E193"/>
      <c r="F193"/>
      <c r="G193"/>
      <c r="J193"/>
      <c r="K193"/>
      <c r="L193"/>
      <c r="M193"/>
      <c r="O193"/>
      <c r="P193"/>
      <c r="Q193"/>
      <c r="R193"/>
      <c r="S193"/>
      <c r="T193"/>
      <c r="U193"/>
      <c r="V193"/>
      <c r="Y193"/>
      <c r="Z193"/>
      <c r="AA193"/>
      <c r="AB193"/>
      <c r="AF193"/>
      <c r="AG193"/>
      <c r="AH193"/>
      <c r="AI193"/>
      <c r="AJ193"/>
      <c r="AK193"/>
      <c r="AN193"/>
      <c r="AO193"/>
      <c r="AP193"/>
      <c r="AQ193"/>
      <c r="AR193"/>
      <c r="AS193"/>
      <c r="AV193"/>
      <c r="AW193"/>
      <c r="AX193"/>
      <c r="AY193"/>
      <c r="AZ193"/>
      <c r="BA193"/>
      <c r="BL193"/>
      <c r="BM193"/>
      <c r="BN193"/>
      <c r="BO193"/>
      <c r="BP193"/>
      <c r="BQ193"/>
    </row>
    <row r="194" spans="4:69" x14ac:dyDescent="0.25">
      <c r="D194"/>
      <c r="E194"/>
      <c r="F194"/>
      <c r="G194"/>
      <c r="J194"/>
      <c r="K194"/>
      <c r="L194"/>
      <c r="M194"/>
      <c r="O194"/>
      <c r="P194"/>
      <c r="Q194"/>
      <c r="R194"/>
      <c r="S194"/>
      <c r="T194"/>
      <c r="U194"/>
      <c r="V194"/>
      <c r="Y194"/>
      <c r="Z194"/>
      <c r="AA194"/>
      <c r="AB194"/>
      <c r="AF194"/>
      <c r="AG194"/>
      <c r="AH194"/>
      <c r="AI194"/>
      <c r="AJ194"/>
      <c r="AK194"/>
      <c r="AN194"/>
      <c r="AO194"/>
      <c r="AP194"/>
      <c r="AQ194"/>
      <c r="AR194"/>
      <c r="AS194"/>
      <c r="AV194"/>
      <c r="AW194"/>
      <c r="AX194"/>
      <c r="AY194"/>
      <c r="AZ194"/>
      <c r="BA194"/>
      <c r="BL194"/>
      <c r="BM194"/>
      <c r="BN194"/>
      <c r="BO194"/>
      <c r="BP194"/>
      <c r="BQ194"/>
    </row>
    <row r="195" spans="4:69" x14ac:dyDescent="0.25">
      <c r="D195"/>
      <c r="E195"/>
      <c r="F195"/>
      <c r="G195"/>
      <c r="J195"/>
      <c r="K195"/>
      <c r="L195"/>
      <c r="M195"/>
      <c r="O195"/>
      <c r="P195"/>
      <c r="Q195"/>
      <c r="R195"/>
      <c r="S195"/>
      <c r="T195"/>
      <c r="U195"/>
      <c r="V195"/>
      <c r="Y195"/>
      <c r="Z195"/>
      <c r="AA195"/>
      <c r="AB195"/>
      <c r="AF195"/>
      <c r="AG195"/>
      <c r="AH195"/>
      <c r="AI195"/>
      <c r="AJ195"/>
      <c r="AK195"/>
      <c r="AN195"/>
      <c r="AO195"/>
      <c r="AP195"/>
      <c r="AQ195"/>
      <c r="AR195"/>
      <c r="AS195"/>
      <c r="AV195"/>
      <c r="AW195"/>
      <c r="AX195"/>
      <c r="AY195"/>
      <c r="AZ195"/>
      <c r="BA195"/>
      <c r="BL195"/>
      <c r="BM195"/>
      <c r="BN195"/>
      <c r="BO195"/>
      <c r="BP195"/>
      <c r="BQ195"/>
    </row>
    <row r="196" spans="4:69" x14ac:dyDescent="0.25">
      <c r="D196"/>
      <c r="E196"/>
      <c r="F196"/>
      <c r="G196"/>
      <c r="J196"/>
      <c r="K196"/>
      <c r="L196"/>
      <c r="M196"/>
      <c r="O196"/>
      <c r="P196"/>
      <c r="Q196"/>
      <c r="R196"/>
      <c r="S196"/>
      <c r="T196"/>
      <c r="U196"/>
      <c r="V196"/>
      <c r="Y196"/>
      <c r="Z196"/>
      <c r="AA196"/>
      <c r="AB196"/>
      <c r="AF196"/>
      <c r="AG196"/>
      <c r="AH196"/>
      <c r="AI196"/>
      <c r="AJ196"/>
      <c r="AK196"/>
      <c r="AN196"/>
      <c r="AO196"/>
      <c r="AP196"/>
      <c r="AQ196"/>
      <c r="AR196"/>
      <c r="AS196"/>
      <c r="AV196"/>
      <c r="AW196"/>
      <c r="AX196"/>
      <c r="AY196"/>
      <c r="AZ196"/>
      <c r="BA196"/>
      <c r="BL196"/>
      <c r="BM196"/>
      <c r="BN196"/>
      <c r="BO196"/>
      <c r="BP196"/>
      <c r="BQ196"/>
    </row>
    <row r="197" spans="4:69" x14ac:dyDescent="0.25">
      <c r="D197"/>
      <c r="E197"/>
      <c r="F197"/>
      <c r="G197"/>
      <c r="J197"/>
      <c r="K197"/>
      <c r="L197"/>
      <c r="M197"/>
      <c r="O197"/>
      <c r="P197"/>
      <c r="Q197"/>
      <c r="R197"/>
      <c r="S197"/>
      <c r="T197"/>
      <c r="U197"/>
      <c r="V197"/>
      <c r="Y197"/>
      <c r="Z197"/>
      <c r="AA197"/>
      <c r="AB197"/>
      <c r="AF197"/>
      <c r="AG197"/>
      <c r="AH197"/>
      <c r="AI197"/>
      <c r="AJ197"/>
      <c r="AK197"/>
      <c r="AN197"/>
      <c r="AO197"/>
      <c r="AP197"/>
      <c r="AQ197"/>
      <c r="AR197"/>
      <c r="AS197"/>
      <c r="AV197"/>
      <c r="AW197"/>
      <c r="AX197"/>
      <c r="AY197"/>
      <c r="AZ197"/>
      <c r="BA197"/>
      <c r="BL197"/>
      <c r="BM197"/>
      <c r="BN197"/>
      <c r="BO197"/>
      <c r="BP197"/>
      <c r="BQ197"/>
    </row>
    <row r="198" spans="4:69" x14ac:dyDescent="0.25">
      <c r="D198"/>
      <c r="E198"/>
      <c r="F198"/>
      <c r="G198"/>
      <c r="J198"/>
      <c r="K198"/>
      <c r="L198"/>
      <c r="M198"/>
      <c r="O198"/>
      <c r="P198"/>
      <c r="Q198"/>
      <c r="R198"/>
      <c r="S198"/>
      <c r="T198"/>
      <c r="U198"/>
      <c r="V198"/>
      <c r="Y198"/>
      <c r="Z198"/>
      <c r="AA198"/>
      <c r="AB198"/>
      <c r="AF198"/>
      <c r="AG198"/>
      <c r="AH198"/>
      <c r="AI198"/>
      <c r="AJ198"/>
      <c r="AK198"/>
      <c r="AN198"/>
      <c r="AO198"/>
      <c r="AP198"/>
      <c r="AQ198"/>
      <c r="AR198"/>
      <c r="AS198"/>
      <c r="AV198"/>
      <c r="AW198"/>
      <c r="AX198"/>
      <c r="AY198"/>
      <c r="AZ198"/>
      <c r="BA198"/>
      <c r="BL198"/>
      <c r="BM198"/>
      <c r="BN198"/>
      <c r="BO198"/>
      <c r="BP198"/>
      <c r="BQ198"/>
    </row>
    <row r="199" spans="4:69" x14ac:dyDescent="0.25">
      <c r="D199"/>
      <c r="E199"/>
      <c r="F199"/>
      <c r="G199"/>
      <c r="J199"/>
      <c r="K199"/>
      <c r="L199"/>
      <c r="M199"/>
      <c r="O199"/>
      <c r="P199"/>
      <c r="Q199"/>
      <c r="R199"/>
      <c r="S199"/>
      <c r="T199"/>
      <c r="U199"/>
      <c r="V199"/>
      <c r="Y199"/>
      <c r="Z199"/>
      <c r="AA199"/>
      <c r="AB199"/>
      <c r="AF199"/>
      <c r="AG199"/>
      <c r="AH199"/>
      <c r="AI199"/>
      <c r="AJ199"/>
      <c r="AK199"/>
      <c r="AN199"/>
      <c r="AO199"/>
      <c r="AP199"/>
      <c r="AQ199"/>
      <c r="AR199"/>
      <c r="AS199"/>
      <c r="AV199"/>
      <c r="AW199"/>
      <c r="AX199"/>
      <c r="AY199"/>
      <c r="AZ199"/>
      <c r="BA199"/>
      <c r="BL199"/>
      <c r="BM199"/>
      <c r="BN199"/>
      <c r="BO199"/>
      <c r="BP199"/>
      <c r="BQ199"/>
    </row>
    <row r="200" spans="4:69" x14ac:dyDescent="0.25">
      <c r="D200"/>
      <c r="E200"/>
      <c r="F200"/>
      <c r="G200"/>
      <c r="J200"/>
      <c r="K200"/>
      <c r="L200"/>
      <c r="M200"/>
      <c r="O200"/>
      <c r="P200"/>
      <c r="Q200"/>
      <c r="R200"/>
      <c r="S200"/>
      <c r="T200"/>
      <c r="U200"/>
      <c r="V200"/>
      <c r="Y200"/>
      <c r="Z200"/>
      <c r="AA200"/>
      <c r="AB200"/>
      <c r="AF200"/>
      <c r="AG200"/>
      <c r="AH200"/>
      <c r="AI200"/>
      <c r="AJ200"/>
      <c r="AK200"/>
      <c r="AN200"/>
      <c r="AO200"/>
      <c r="AP200"/>
      <c r="AQ200"/>
      <c r="AR200"/>
      <c r="AS200"/>
      <c r="AV200"/>
      <c r="AW200"/>
      <c r="AX200"/>
      <c r="AY200"/>
      <c r="AZ200"/>
      <c r="BA200"/>
      <c r="BL200"/>
      <c r="BM200"/>
      <c r="BN200"/>
      <c r="BO200"/>
      <c r="BP200"/>
      <c r="BQ200"/>
    </row>
    <row r="201" spans="4:69" x14ac:dyDescent="0.25">
      <c r="D201"/>
      <c r="E201"/>
      <c r="F201"/>
      <c r="G201"/>
      <c r="J201"/>
      <c r="K201"/>
      <c r="L201"/>
      <c r="M201"/>
      <c r="O201"/>
      <c r="P201"/>
      <c r="Q201"/>
      <c r="R201"/>
      <c r="S201"/>
      <c r="T201"/>
      <c r="U201"/>
      <c r="V201"/>
      <c r="Y201"/>
      <c r="Z201"/>
      <c r="AA201"/>
      <c r="AB201"/>
      <c r="AF201"/>
      <c r="AG201"/>
      <c r="AH201"/>
      <c r="AI201"/>
      <c r="AJ201"/>
      <c r="AK201"/>
      <c r="AN201"/>
      <c r="AO201"/>
      <c r="AP201"/>
      <c r="AQ201"/>
      <c r="AR201"/>
      <c r="AS201"/>
      <c r="AV201"/>
      <c r="AW201"/>
      <c r="AX201"/>
      <c r="AY201"/>
      <c r="AZ201"/>
      <c r="BA201"/>
      <c r="BL201"/>
      <c r="BM201"/>
      <c r="BN201"/>
      <c r="BO201"/>
      <c r="BP201"/>
      <c r="BQ201"/>
    </row>
    <row r="202" spans="4:69" x14ac:dyDescent="0.25">
      <c r="D202"/>
      <c r="E202"/>
      <c r="F202"/>
      <c r="G202"/>
      <c r="J202"/>
      <c r="K202"/>
      <c r="L202"/>
      <c r="M202"/>
      <c r="O202"/>
      <c r="P202"/>
      <c r="Q202"/>
      <c r="R202"/>
      <c r="S202"/>
      <c r="T202"/>
      <c r="U202"/>
      <c r="V202"/>
      <c r="Y202"/>
      <c r="Z202"/>
      <c r="AA202"/>
      <c r="AB202"/>
      <c r="AF202"/>
      <c r="AG202"/>
      <c r="AH202"/>
      <c r="AI202"/>
      <c r="AJ202"/>
      <c r="AK202"/>
      <c r="AN202"/>
      <c r="AO202"/>
      <c r="AP202"/>
      <c r="AQ202"/>
      <c r="AR202"/>
      <c r="AS202"/>
      <c r="AV202"/>
      <c r="AW202"/>
      <c r="AX202"/>
      <c r="AY202"/>
      <c r="AZ202"/>
      <c r="BA202"/>
      <c r="BL202"/>
      <c r="BM202"/>
      <c r="BN202"/>
      <c r="BO202"/>
      <c r="BP202"/>
      <c r="BQ202"/>
    </row>
    <row r="203" spans="4:69" x14ac:dyDescent="0.25">
      <c r="D203"/>
      <c r="E203"/>
      <c r="F203"/>
      <c r="G203"/>
      <c r="J203"/>
      <c r="K203"/>
      <c r="L203"/>
      <c r="M203"/>
      <c r="O203"/>
      <c r="P203"/>
      <c r="Q203"/>
      <c r="R203"/>
      <c r="S203"/>
      <c r="T203"/>
      <c r="U203"/>
      <c r="V203"/>
      <c r="Y203"/>
      <c r="Z203"/>
      <c r="AA203"/>
      <c r="AB203"/>
      <c r="AF203"/>
      <c r="AG203"/>
      <c r="AH203"/>
      <c r="AI203"/>
      <c r="AJ203"/>
      <c r="AK203"/>
      <c r="AN203"/>
      <c r="AO203"/>
      <c r="AP203"/>
      <c r="AQ203"/>
      <c r="AR203"/>
      <c r="AS203"/>
      <c r="AV203"/>
      <c r="AW203"/>
      <c r="AX203"/>
      <c r="AY203"/>
      <c r="AZ203"/>
      <c r="BA203"/>
      <c r="BL203"/>
      <c r="BM203"/>
      <c r="BN203"/>
      <c r="BO203"/>
      <c r="BP203"/>
      <c r="BQ203"/>
    </row>
    <row r="204" spans="4:69" x14ac:dyDescent="0.25">
      <c r="D204"/>
      <c r="E204"/>
      <c r="F204"/>
      <c r="G204"/>
      <c r="J204"/>
      <c r="K204"/>
      <c r="L204"/>
      <c r="M204"/>
      <c r="O204"/>
      <c r="P204"/>
      <c r="Q204"/>
      <c r="R204"/>
      <c r="S204"/>
      <c r="T204"/>
      <c r="U204"/>
      <c r="V204"/>
      <c r="Y204"/>
      <c r="Z204"/>
      <c r="AA204"/>
      <c r="AB204"/>
      <c r="AF204"/>
      <c r="AG204"/>
      <c r="AH204"/>
      <c r="AI204"/>
      <c r="AJ204"/>
      <c r="AK204"/>
      <c r="AN204"/>
      <c r="AO204"/>
      <c r="AP204"/>
      <c r="AQ204"/>
      <c r="AR204"/>
      <c r="AS204"/>
      <c r="AV204"/>
      <c r="AW204"/>
      <c r="AX204"/>
      <c r="AY204"/>
      <c r="AZ204"/>
      <c r="BA204"/>
      <c r="BL204"/>
      <c r="BM204"/>
      <c r="BN204"/>
      <c r="BO204"/>
      <c r="BP204"/>
      <c r="BQ204"/>
    </row>
    <row r="205" spans="4:69" x14ac:dyDescent="0.25">
      <c r="D205"/>
      <c r="E205"/>
      <c r="F205"/>
      <c r="G205"/>
      <c r="J205"/>
      <c r="K205"/>
      <c r="L205"/>
      <c r="M205"/>
      <c r="O205"/>
      <c r="P205"/>
      <c r="Q205"/>
      <c r="R205"/>
      <c r="S205"/>
      <c r="T205"/>
      <c r="U205"/>
      <c r="V205"/>
      <c r="Y205"/>
      <c r="Z205"/>
      <c r="AA205"/>
      <c r="AB205"/>
      <c r="AF205"/>
      <c r="AG205"/>
      <c r="AH205"/>
      <c r="AI205"/>
      <c r="AJ205"/>
      <c r="AK205"/>
      <c r="AN205"/>
      <c r="AO205"/>
      <c r="AP205"/>
      <c r="AQ205"/>
      <c r="AR205"/>
      <c r="AS205"/>
      <c r="AV205"/>
      <c r="AW205"/>
      <c r="AX205"/>
      <c r="AY205"/>
      <c r="AZ205"/>
      <c r="BA205"/>
      <c r="BL205"/>
      <c r="BM205"/>
      <c r="BN205"/>
      <c r="BO205"/>
      <c r="BP205"/>
      <c r="BQ205"/>
    </row>
    <row r="206" spans="4:69" x14ac:dyDescent="0.25">
      <c r="D206"/>
      <c r="E206"/>
      <c r="F206"/>
      <c r="G206"/>
      <c r="J206"/>
      <c r="K206"/>
      <c r="L206"/>
      <c r="M206"/>
      <c r="O206"/>
      <c r="P206"/>
      <c r="Q206"/>
      <c r="R206"/>
      <c r="S206"/>
      <c r="T206"/>
      <c r="U206"/>
      <c r="V206"/>
      <c r="Y206"/>
      <c r="Z206"/>
      <c r="AA206"/>
      <c r="AB206"/>
      <c r="AF206"/>
      <c r="AG206"/>
      <c r="AH206"/>
      <c r="AI206"/>
      <c r="AJ206"/>
      <c r="AK206"/>
      <c r="AN206"/>
      <c r="AO206"/>
      <c r="AP206"/>
      <c r="AQ206"/>
      <c r="AR206"/>
      <c r="AS206"/>
      <c r="AV206"/>
      <c r="AW206"/>
      <c r="AX206"/>
      <c r="AY206"/>
      <c r="AZ206"/>
      <c r="BA206"/>
      <c r="BL206"/>
      <c r="BM206"/>
      <c r="BN206"/>
      <c r="BO206"/>
      <c r="BP206"/>
      <c r="BQ206"/>
    </row>
    <row r="207" spans="4:69" x14ac:dyDescent="0.25">
      <c r="D207"/>
      <c r="E207"/>
      <c r="F207"/>
      <c r="G207"/>
      <c r="J207"/>
      <c r="K207"/>
      <c r="L207"/>
      <c r="M207"/>
      <c r="O207"/>
      <c r="P207"/>
      <c r="Q207"/>
      <c r="R207"/>
      <c r="S207"/>
      <c r="T207"/>
      <c r="U207"/>
      <c r="V207"/>
      <c r="Y207"/>
      <c r="Z207"/>
      <c r="AA207"/>
      <c r="AB207"/>
      <c r="AF207"/>
      <c r="AG207"/>
      <c r="AH207"/>
      <c r="AI207"/>
      <c r="AJ207"/>
      <c r="AK207"/>
      <c r="AN207"/>
      <c r="AO207"/>
      <c r="AP207"/>
      <c r="AQ207"/>
      <c r="AR207"/>
      <c r="AS207"/>
      <c r="AV207"/>
      <c r="AW207"/>
      <c r="AX207"/>
      <c r="AY207"/>
      <c r="AZ207"/>
      <c r="BA207"/>
      <c r="BL207"/>
      <c r="BM207"/>
      <c r="BN207"/>
      <c r="BO207"/>
      <c r="BP207"/>
      <c r="BQ207"/>
    </row>
    <row r="208" spans="4:69" x14ac:dyDescent="0.25">
      <c r="D208"/>
      <c r="E208"/>
      <c r="F208"/>
      <c r="G208"/>
      <c r="J208"/>
      <c r="K208"/>
      <c r="L208"/>
      <c r="M208"/>
      <c r="O208"/>
      <c r="P208"/>
      <c r="Q208"/>
      <c r="R208"/>
      <c r="S208"/>
      <c r="T208"/>
      <c r="U208"/>
      <c r="V208"/>
      <c r="Y208"/>
      <c r="Z208"/>
      <c r="AA208"/>
      <c r="AB208"/>
      <c r="AF208"/>
      <c r="AG208"/>
      <c r="AH208"/>
      <c r="AI208"/>
      <c r="AJ208"/>
      <c r="AK208"/>
      <c r="AN208"/>
      <c r="AO208"/>
      <c r="AP208"/>
      <c r="AQ208"/>
      <c r="AR208"/>
      <c r="AS208"/>
      <c r="AV208"/>
      <c r="AW208"/>
      <c r="AX208"/>
      <c r="AY208"/>
      <c r="AZ208"/>
      <c r="BA208"/>
      <c r="BL208"/>
      <c r="BM208"/>
      <c r="BN208"/>
      <c r="BO208"/>
      <c r="BP208"/>
      <c r="BQ208"/>
    </row>
    <row r="209" spans="4:69" x14ac:dyDescent="0.25">
      <c r="D209"/>
      <c r="E209"/>
      <c r="F209"/>
      <c r="G209"/>
      <c r="J209"/>
      <c r="K209"/>
      <c r="L209"/>
      <c r="M209"/>
      <c r="O209"/>
      <c r="P209"/>
      <c r="Q209"/>
      <c r="R209"/>
      <c r="S209"/>
      <c r="T209"/>
      <c r="U209"/>
      <c r="V209"/>
      <c r="Y209"/>
      <c r="Z209"/>
      <c r="AA209"/>
      <c r="AB209"/>
      <c r="AF209"/>
      <c r="AG209"/>
      <c r="AH209"/>
      <c r="AI209"/>
      <c r="AJ209"/>
      <c r="AK209"/>
      <c r="AN209"/>
      <c r="AO209"/>
      <c r="AP209"/>
      <c r="AQ209"/>
      <c r="AR209"/>
      <c r="AS209"/>
      <c r="AV209"/>
      <c r="AW209"/>
      <c r="AX209"/>
      <c r="AY209"/>
      <c r="AZ209"/>
      <c r="BA209"/>
      <c r="BL209"/>
      <c r="BM209"/>
      <c r="BN209"/>
      <c r="BO209"/>
      <c r="BP209"/>
      <c r="BQ209"/>
    </row>
    <row r="210" spans="4:69" x14ac:dyDescent="0.25">
      <c r="D210"/>
      <c r="E210"/>
      <c r="F210"/>
      <c r="G210"/>
      <c r="J210"/>
      <c r="K210"/>
      <c r="L210"/>
      <c r="M210"/>
      <c r="O210"/>
      <c r="P210"/>
      <c r="Q210"/>
      <c r="R210"/>
      <c r="S210"/>
      <c r="T210"/>
      <c r="U210"/>
      <c r="V210"/>
      <c r="Y210"/>
      <c r="Z210"/>
      <c r="AA210"/>
      <c r="AB210"/>
      <c r="AF210"/>
      <c r="AG210"/>
      <c r="AH210"/>
      <c r="AI210"/>
      <c r="AJ210"/>
      <c r="AK210"/>
      <c r="AN210"/>
      <c r="AO210"/>
      <c r="AP210"/>
      <c r="AQ210"/>
      <c r="AR210"/>
      <c r="AS210"/>
      <c r="AV210"/>
      <c r="AW210"/>
      <c r="AX210"/>
      <c r="AY210"/>
      <c r="AZ210"/>
      <c r="BA210"/>
      <c r="BL210"/>
      <c r="BM210"/>
      <c r="BN210"/>
      <c r="BO210"/>
      <c r="BP210"/>
      <c r="BQ210"/>
    </row>
    <row r="211" spans="4:69" x14ac:dyDescent="0.25">
      <c r="D211"/>
      <c r="E211"/>
      <c r="F211"/>
      <c r="G211"/>
      <c r="J211"/>
      <c r="K211"/>
      <c r="L211"/>
      <c r="M211"/>
      <c r="O211"/>
      <c r="P211"/>
      <c r="Q211"/>
      <c r="R211"/>
      <c r="S211"/>
      <c r="T211"/>
      <c r="U211"/>
      <c r="V211"/>
      <c r="Y211"/>
      <c r="Z211"/>
      <c r="AA211"/>
      <c r="AB211"/>
      <c r="AF211"/>
      <c r="AG211"/>
      <c r="AH211"/>
      <c r="AI211"/>
      <c r="AJ211"/>
      <c r="AK211"/>
      <c r="AN211"/>
      <c r="AO211"/>
      <c r="AP211"/>
      <c r="AQ211"/>
      <c r="AR211"/>
      <c r="AS211"/>
      <c r="AV211"/>
      <c r="AW211"/>
      <c r="AX211"/>
      <c r="AY211"/>
      <c r="AZ211"/>
      <c r="BA211"/>
      <c r="BL211"/>
      <c r="BM211"/>
      <c r="BN211"/>
      <c r="BO211"/>
      <c r="BP211"/>
      <c r="BQ211"/>
    </row>
    <row r="212" spans="4:69" x14ac:dyDescent="0.25">
      <c r="D212"/>
      <c r="E212"/>
      <c r="F212"/>
      <c r="G212"/>
      <c r="J212"/>
      <c r="K212"/>
      <c r="L212"/>
      <c r="M212"/>
      <c r="O212"/>
      <c r="P212"/>
      <c r="Q212"/>
      <c r="R212"/>
      <c r="S212"/>
      <c r="T212"/>
      <c r="U212"/>
      <c r="V212"/>
      <c r="Y212"/>
      <c r="Z212"/>
      <c r="AA212"/>
      <c r="AB212"/>
      <c r="AF212"/>
      <c r="AG212"/>
      <c r="AH212"/>
      <c r="AI212"/>
      <c r="AJ212"/>
      <c r="AK212"/>
      <c r="AN212"/>
      <c r="AO212"/>
      <c r="AP212"/>
      <c r="AQ212"/>
      <c r="AR212"/>
      <c r="AS212"/>
      <c r="AV212"/>
      <c r="AW212"/>
      <c r="AX212"/>
      <c r="AY212"/>
      <c r="AZ212"/>
      <c r="BA212"/>
      <c r="BL212"/>
      <c r="BM212"/>
      <c r="BN212"/>
      <c r="BO212"/>
      <c r="BP212"/>
      <c r="BQ212"/>
    </row>
    <row r="213" spans="4:69" x14ac:dyDescent="0.25">
      <c r="D213"/>
      <c r="E213"/>
      <c r="F213"/>
      <c r="G213"/>
      <c r="J213"/>
      <c r="K213"/>
      <c r="L213"/>
      <c r="M213"/>
      <c r="O213"/>
      <c r="P213"/>
      <c r="Q213"/>
      <c r="R213"/>
      <c r="S213"/>
      <c r="T213"/>
      <c r="U213"/>
      <c r="V213"/>
      <c r="Y213"/>
      <c r="Z213"/>
      <c r="AA213"/>
      <c r="AB213"/>
      <c r="AF213"/>
      <c r="AG213"/>
      <c r="AH213"/>
      <c r="AI213"/>
      <c r="AJ213"/>
      <c r="AK213"/>
      <c r="AN213"/>
      <c r="AO213"/>
      <c r="AP213"/>
      <c r="AQ213"/>
      <c r="AR213"/>
      <c r="AS213"/>
      <c r="AV213"/>
      <c r="AW213"/>
      <c r="AX213"/>
      <c r="AY213"/>
      <c r="AZ213"/>
      <c r="BA213"/>
      <c r="BL213"/>
      <c r="BM213"/>
      <c r="BN213"/>
      <c r="BO213"/>
      <c r="BP213"/>
      <c r="BQ213"/>
    </row>
    <row r="214" spans="4:69" x14ac:dyDescent="0.25">
      <c r="D214"/>
      <c r="E214"/>
      <c r="F214"/>
      <c r="G214"/>
      <c r="J214"/>
      <c r="K214"/>
      <c r="L214"/>
      <c r="M214"/>
      <c r="O214"/>
      <c r="P214"/>
      <c r="Q214"/>
      <c r="R214"/>
      <c r="S214"/>
      <c r="T214"/>
      <c r="U214"/>
      <c r="V214"/>
      <c r="Y214"/>
      <c r="Z214"/>
      <c r="AA214"/>
      <c r="AB214"/>
      <c r="AF214"/>
      <c r="AG214"/>
      <c r="AH214"/>
      <c r="AI214"/>
      <c r="AJ214"/>
      <c r="AK214"/>
      <c r="AN214"/>
      <c r="AO214"/>
      <c r="AP214"/>
      <c r="AQ214"/>
      <c r="AR214"/>
      <c r="AS214"/>
      <c r="AV214"/>
      <c r="AW214"/>
      <c r="AX214"/>
      <c r="AY214"/>
      <c r="AZ214"/>
      <c r="BA214"/>
      <c r="BL214"/>
      <c r="BM214"/>
      <c r="BN214"/>
      <c r="BO214"/>
      <c r="BP214"/>
      <c r="BQ214"/>
    </row>
    <row r="215" spans="4:69" x14ac:dyDescent="0.25">
      <c r="D215"/>
      <c r="E215"/>
      <c r="F215"/>
      <c r="G215"/>
      <c r="J215"/>
      <c r="K215"/>
      <c r="L215"/>
      <c r="M215"/>
      <c r="O215"/>
      <c r="P215"/>
      <c r="Q215"/>
      <c r="R215"/>
      <c r="S215"/>
      <c r="T215"/>
      <c r="U215"/>
      <c r="V215"/>
      <c r="Y215"/>
      <c r="Z215"/>
      <c r="AA215"/>
      <c r="AB215"/>
      <c r="AF215"/>
      <c r="AG215"/>
      <c r="AH215"/>
      <c r="AI215"/>
      <c r="AJ215"/>
      <c r="AK215"/>
      <c r="AN215"/>
      <c r="AO215"/>
      <c r="AP215"/>
      <c r="AQ215"/>
      <c r="AR215"/>
      <c r="AS215"/>
      <c r="AV215"/>
      <c r="AW215"/>
      <c r="AX215"/>
      <c r="AY215"/>
      <c r="AZ215"/>
      <c r="BA215"/>
      <c r="BL215"/>
      <c r="BM215"/>
      <c r="BN215"/>
      <c r="BO215"/>
      <c r="BP215"/>
      <c r="BQ215"/>
    </row>
    <row r="216" spans="4:69" x14ac:dyDescent="0.25">
      <c r="D216"/>
      <c r="E216"/>
      <c r="F216"/>
      <c r="G216"/>
      <c r="J216"/>
      <c r="K216"/>
      <c r="L216"/>
      <c r="M216"/>
      <c r="O216"/>
      <c r="P216"/>
      <c r="Q216"/>
      <c r="R216"/>
      <c r="S216"/>
      <c r="T216"/>
      <c r="U216"/>
      <c r="V216"/>
      <c r="Y216"/>
      <c r="Z216"/>
      <c r="AA216"/>
      <c r="AB216"/>
      <c r="AF216"/>
      <c r="AG216"/>
      <c r="AH216"/>
      <c r="AI216"/>
      <c r="AJ216"/>
      <c r="AK216"/>
      <c r="AN216"/>
      <c r="AO216"/>
      <c r="AP216"/>
      <c r="AQ216"/>
      <c r="AR216"/>
      <c r="AS216"/>
      <c r="AV216"/>
      <c r="AW216"/>
      <c r="AX216"/>
      <c r="AY216"/>
      <c r="AZ216"/>
      <c r="BA216"/>
      <c r="BL216"/>
      <c r="BM216"/>
      <c r="BN216"/>
      <c r="BO216"/>
      <c r="BP216"/>
      <c r="BQ216"/>
    </row>
    <row r="217" spans="4:69" x14ac:dyDescent="0.25">
      <c r="D217"/>
      <c r="E217"/>
      <c r="F217"/>
      <c r="G217"/>
      <c r="J217"/>
      <c r="K217"/>
      <c r="L217"/>
      <c r="M217"/>
      <c r="O217"/>
      <c r="P217"/>
      <c r="Q217"/>
      <c r="R217"/>
      <c r="S217"/>
      <c r="T217"/>
      <c r="U217"/>
      <c r="V217"/>
      <c r="Y217"/>
      <c r="Z217"/>
      <c r="AA217"/>
      <c r="AB217"/>
      <c r="AF217"/>
      <c r="AG217"/>
      <c r="AH217"/>
      <c r="AI217"/>
      <c r="AJ217"/>
      <c r="AK217"/>
      <c r="AN217"/>
      <c r="AO217"/>
      <c r="AP217"/>
      <c r="AQ217"/>
      <c r="AR217"/>
      <c r="AS217"/>
      <c r="AV217"/>
      <c r="AW217"/>
      <c r="AX217"/>
      <c r="AY217"/>
      <c r="AZ217"/>
      <c r="BA217"/>
      <c r="BL217"/>
      <c r="BM217"/>
      <c r="BN217"/>
      <c r="BO217"/>
      <c r="BP217"/>
      <c r="BQ217"/>
    </row>
    <row r="218" spans="4:69" x14ac:dyDescent="0.25">
      <c r="D218"/>
      <c r="E218"/>
      <c r="F218"/>
      <c r="G218"/>
      <c r="J218"/>
      <c r="K218"/>
      <c r="L218"/>
      <c r="M218"/>
      <c r="O218"/>
      <c r="P218"/>
      <c r="Q218"/>
      <c r="R218"/>
      <c r="S218"/>
      <c r="T218"/>
      <c r="U218"/>
      <c r="V218"/>
      <c r="Y218"/>
      <c r="Z218"/>
      <c r="AA218"/>
      <c r="AB218"/>
      <c r="AF218"/>
      <c r="AG218"/>
      <c r="AH218"/>
      <c r="AI218"/>
      <c r="AJ218"/>
      <c r="AK218"/>
      <c r="AN218"/>
      <c r="AO218"/>
      <c r="AP218"/>
      <c r="AQ218"/>
      <c r="AR218"/>
      <c r="AS218"/>
      <c r="AV218"/>
      <c r="AW218"/>
      <c r="AX218"/>
      <c r="AY218"/>
      <c r="AZ218"/>
      <c r="BA218"/>
      <c r="BL218"/>
      <c r="BM218"/>
      <c r="BN218"/>
      <c r="BO218"/>
      <c r="BP218"/>
      <c r="BQ218"/>
    </row>
    <row r="219" spans="4:69" x14ac:dyDescent="0.25">
      <c r="D219"/>
      <c r="E219"/>
      <c r="F219"/>
      <c r="G219"/>
      <c r="J219"/>
      <c r="K219"/>
      <c r="L219"/>
      <c r="M219"/>
      <c r="O219"/>
      <c r="P219"/>
      <c r="Q219"/>
      <c r="R219"/>
      <c r="S219"/>
      <c r="T219"/>
      <c r="U219"/>
      <c r="V219"/>
      <c r="Y219"/>
      <c r="Z219"/>
      <c r="AA219"/>
      <c r="AB219"/>
      <c r="AF219"/>
      <c r="AG219"/>
      <c r="AH219"/>
      <c r="AI219"/>
      <c r="AJ219"/>
      <c r="AK219"/>
      <c r="AN219"/>
      <c r="AO219"/>
      <c r="AP219"/>
      <c r="AQ219"/>
      <c r="AR219"/>
      <c r="AS219"/>
      <c r="AV219"/>
      <c r="AW219"/>
      <c r="AX219"/>
      <c r="AY219"/>
      <c r="AZ219"/>
      <c r="BA219"/>
      <c r="BL219"/>
      <c r="BM219"/>
      <c r="BN219"/>
      <c r="BO219"/>
      <c r="BP219"/>
      <c r="BQ219"/>
    </row>
    <row r="220" spans="4:69" x14ac:dyDescent="0.25">
      <c r="D220"/>
      <c r="E220"/>
      <c r="F220"/>
      <c r="G220"/>
      <c r="J220"/>
      <c r="K220"/>
      <c r="L220"/>
      <c r="M220"/>
      <c r="O220"/>
      <c r="P220"/>
      <c r="Q220"/>
      <c r="R220"/>
      <c r="S220"/>
      <c r="T220"/>
      <c r="U220"/>
      <c r="V220"/>
      <c r="Y220"/>
      <c r="Z220"/>
      <c r="AA220"/>
      <c r="AB220"/>
      <c r="AF220"/>
      <c r="AG220"/>
      <c r="AH220"/>
      <c r="AI220"/>
      <c r="AJ220"/>
      <c r="AK220"/>
      <c r="AN220"/>
      <c r="AO220"/>
      <c r="AP220"/>
      <c r="AQ220"/>
      <c r="AR220"/>
      <c r="AS220"/>
      <c r="AV220"/>
      <c r="AW220"/>
      <c r="AX220"/>
      <c r="AY220"/>
      <c r="AZ220"/>
      <c r="BA220"/>
      <c r="BL220"/>
      <c r="BM220"/>
      <c r="BN220"/>
      <c r="BO220"/>
      <c r="BP220"/>
      <c r="BQ220"/>
    </row>
    <row r="221" spans="4:69" x14ac:dyDescent="0.25">
      <c r="D221"/>
      <c r="E221"/>
      <c r="F221"/>
      <c r="G221"/>
      <c r="J221"/>
      <c r="K221"/>
      <c r="L221"/>
      <c r="M221"/>
      <c r="O221"/>
      <c r="P221"/>
      <c r="Q221"/>
      <c r="R221"/>
      <c r="S221"/>
      <c r="T221"/>
      <c r="U221"/>
      <c r="V221"/>
      <c r="Y221"/>
      <c r="Z221"/>
      <c r="AA221"/>
      <c r="AB221"/>
      <c r="AF221"/>
      <c r="AG221"/>
      <c r="AH221"/>
      <c r="AI221"/>
      <c r="AJ221"/>
      <c r="AK221"/>
      <c r="AN221"/>
      <c r="AO221"/>
      <c r="AP221"/>
      <c r="AQ221"/>
      <c r="AR221"/>
      <c r="AS221"/>
      <c r="AV221"/>
      <c r="AW221"/>
      <c r="AX221"/>
      <c r="AY221"/>
      <c r="AZ221"/>
      <c r="BA221"/>
      <c r="BL221"/>
      <c r="BM221"/>
      <c r="BN221"/>
      <c r="BO221"/>
      <c r="BP221"/>
      <c r="BQ221"/>
    </row>
    <row r="222" spans="4:69" x14ac:dyDescent="0.25">
      <c r="D222"/>
      <c r="E222"/>
      <c r="F222"/>
      <c r="G222"/>
      <c r="J222"/>
      <c r="K222"/>
      <c r="L222"/>
      <c r="M222"/>
      <c r="O222"/>
      <c r="P222"/>
      <c r="Q222"/>
      <c r="R222"/>
      <c r="S222"/>
      <c r="T222"/>
      <c r="U222"/>
      <c r="V222"/>
      <c r="Y222"/>
      <c r="Z222"/>
      <c r="AA222"/>
      <c r="AB222"/>
      <c r="AF222"/>
      <c r="AG222"/>
      <c r="AH222"/>
      <c r="AI222"/>
      <c r="AJ222"/>
      <c r="AK222"/>
      <c r="AN222"/>
      <c r="AO222"/>
      <c r="AP222"/>
      <c r="AQ222"/>
      <c r="AR222"/>
      <c r="AS222"/>
      <c r="AV222"/>
      <c r="AW222"/>
      <c r="AX222"/>
      <c r="AY222"/>
      <c r="AZ222"/>
      <c r="BA222"/>
      <c r="BL222"/>
      <c r="BM222"/>
      <c r="BN222"/>
      <c r="BO222"/>
      <c r="BP222"/>
      <c r="BQ222"/>
    </row>
    <row r="223" spans="4:69" x14ac:dyDescent="0.25">
      <c r="D223"/>
      <c r="E223"/>
      <c r="F223"/>
      <c r="G223"/>
      <c r="J223"/>
      <c r="K223"/>
      <c r="L223"/>
      <c r="M223"/>
      <c r="O223"/>
      <c r="P223"/>
      <c r="Q223"/>
      <c r="R223"/>
      <c r="S223"/>
      <c r="T223"/>
      <c r="U223"/>
      <c r="V223"/>
      <c r="Y223"/>
      <c r="Z223"/>
      <c r="AA223"/>
      <c r="AB223"/>
      <c r="AF223"/>
      <c r="AG223"/>
      <c r="AH223"/>
      <c r="AI223"/>
      <c r="AJ223"/>
      <c r="AK223"/>
      <c r="AN223"/>
      <c r="AO223"/>
      <c r="AP223"/>
      <c r="AQ223"/>
      <c r="AR223"/>
      <c r="AS223"/>
      <c r="AV223"/>
      <c r="AW223"/>
      <c r="AX223"/>
      <c r="AY223"/>
      <c r="AZ223"/>
      <c r="BA223"/>
      <c r="BL223"/>
      <c r="BM223"/>
      <c r="BN223"/>
      <c r="BO223"/>
      <c r="BP223"/>
      <c r="BQ223"/>
    </row>
    <row r="224" spans="4:69" x14ac:dyDescent="0.25">
      <c r="D224"/>
      <c r="E224"/>
      <c r="F224"/>
      <c r="G224"/>
      <c r="J224"/>
      <c r="K224"/>
      <c r="L224"/>
      <c r="M224"/>
      <c r="O224"/>
      <c r="P224"/>
      <c r="Q224"/>
      <c r="R224"/>
      <c r="S224"/>
      <c r="T224"/>
      <c r="U224"/>
      <c r="V224"/>
      <c r="Y224"/>
      <c r="Z224"/>
      <c r="AA224"/>
      <c r="AB224"/>
      <c r="AF224"/>
      <c r="AG224"/>
      <c r="AH224"/>
      <c r="AI224"/>
      <c r="AJ224"/>
      <c r="AK224"/>
      <c r="AN224"/>
      <c r="AO224"/>
      <c r="AP224"/>
      <c r="AQ224"/>
      <c r="AR224"/>
      <c r="AS224"/>
      <c r="AV224"/>
      <c r="AW224"/>
      <c r="AX224"/>
      <c r="AY224"/>
      <c r="AZ224"/>
      <c r="BA224"/>
      <c r="BL224"/>
      <c r="BM224"/>
      <c r="BN224"/>
      <c r="BO224"/>
      <c r="BP224"/>
      <c r="BQ224"/>
    </row>
    <row r="225" spans="4:69" x14ac:dyDescent="0.25">
      <c r="D225"/>
      <c r="E225"/>
      <c r="F225"/>
      <c r="G225"/>
      <c r="J225"/>
      <c r="K225"/>
      <c r="L225"/>
      <c r="M225"/>
      <c r="O225"/>
      <c r="P225"/>
      <c r="Q225"/>
      <c r="R225"/>
      <c r="S225"/>
      <c r="T225"/>
      <c r="U225"/>
      <c r="V225"/>
      <c r="Y225"/>
      <c r="Z225"/>
      <c r="AA225"/>
      <c r="AB225"/>
      <c r="AF225"/>
      <c r="AG225"/>
      <c r="AH225"/>
      <c r="AI225"/>
      <c r="AJ225"/>
      <c r="AK225"/>
      <c r="AN225"/>
      <c r="AO225"/>
      <c r="AP225"/>
      <c r="AQ225"/>
      <c r="AR225"/>
      <c r="AS225"/>
      <c r="AV225"/>
      <c r="AW225"/>
      <c r="AX225"/>
      <c r="AY225"/>
      <c r="AZ225"/>
      <c r="BA225"/>
      <c r="BL225"/>
      <c r="BM225"/>
      <c r="BN225"/>
      <c r="BO225"/>
      <c r="BP225"/>
      <c r="BQ225"/>
    </row>
    <row r="226" spans="4:69" x14ac:dyDescent="0.25">
      <c r="D226"/>
      <c r="E226"/>
      <c r="F226"/>
      <c r="G226"/>
      <c r="J226"/>
      <c r="K226"/>
      <c r="L226"/>
      <c r="M226"/>
      <c r="O226"/>
      <c r="P226"/>
      <c r="Q226"/>
      <c r="R226"/>
      <c r="S226"/>
      <c r="T226"/>
      <c r="U226"/>
      <c r="V226"/>
      <c r="Y226"/>
      <c r="Z226"/>
      <c r="AA226"/>
      <c r="AB226"/>
      <c r="AF226"/>
      <c r="AG226"/>
      <c r="AH226"/>
      <c r="AI226"/>
      <c r="AJ226"/>
      <c r="AK226"/>
      <c r="AN226"/>
      <c r="AO226"/>
      <c r="AP226"/>
      <c r="AQ226"/>
      <c r="AR226"/>
      <c r="AS226"/>
      <c r="AV226"/>
      <c r="AW226"/>
      <c r="AX226"/>
      <c r="AY226"/>
      <c r="AZ226"/>
      <c r="BA226"/>
      <c r="BL226"/>
      <c r="BM226"/>
      <c r="BN226"/>
      <c r="BO226"/>
      <c r="BP226"/>
      <c r="BQ226"/>
    </row>
    <row r="227" spans="4:69" x14ac:dyDescent="0.25">
      <c r="D227"/>
      <c r="E227"/>
      <c r="F227"/>
      <c r="G227"/>
      <c r="J227"/>
      <c r="K227"/>
      <c r="L227"/>
      <c r="M227"/>
      <c r="O227"/>
      <c r="P227"/>
      <c r="Q227"/>
      <c r="R227"/>
      <c r="S227"/>
      <c r="T227"/>
      <c r="U227"/>
      <c r="V227"/>
      <c r="Y227"/>
      <c r="Z227"/>
      <c r="AA227"/>
      <c r="AB227"/>
      <c r="AF227"/>
      <c r="AG227"/>
      <c r="AH227"/>
      <c r="AI227"/>
      <c r="AJ227"/>
      <c r="AK227"/>
      <c r="AN227"/>
      <c r="AO227"/>
      <c r="AP227"/>
      <c r="AQ227"/>
      <c r="AR227"/>
      <c r="AS227"/>
      <c r="AV227"/>
      <c r="AW227"/>
      <c r="AX227"/>
      <c r="AY227"/>
      <c r="AZ227"/>
      <c r="BA227"/>
      <c r="BL227"/>
      <c r="BM227"/>
      <c r="BN227"/>
      <c r="BO227"/>
      <c r="BP227"/>
      <c r="BQ227"/>
    </row>
    <row r="228" spans="4:69" x14ac:dyDescent="0.25">
      <c r="D228"/>
      <c r="E228"/>
      <c r="F228"/>
      <c r="G228"/>
      <c r="J228"/>
      <c r="K228"/>
      <c r="L228"/>
      <c r="M228"/>
      <c r="O228"/>
      <c r="P228"/>
      <c r="Q228"/>
      <c r="R228"/>
      <c r="S228"/>
      <c r="T228"/>
      <c r="U228"/>
      <c r="V228"/>
      <c r="Y228"/>
      <c r="Z228"/>
      <c r="AA228"/>
      <c r="AB228"/>
      <c r="AF228"/>
      <c r="AG228"/>
      <c r="AH228"/>
      <c r="AI228"/>
      <c r="AJ228"/>
      <c r="AK228"/>
      <c r="AN228"/>
      <c r="AO228"/>
      <c r="AP228"/>
      <c r="AQ228"/>
      <c r="AR228"/>
      <c r="AS228"/>
      <c r="AV228"/>
      <c r="AW228"/>
      <c r="AX228"/>
      <c r="AY228"/>
      <c r="AZ228"/>
      <c r="BA228"/>
      <c r="BL228"/>
      <c r="BM228"/>
      <c r="BN228"/>
      <c r="BO228"/>
      <c r="BP228"/>
      <c r="BQ228"/>
    </row>
    <row r="229" spans="4:69" x14ac:dyDescent="0.25">
      <c r="D229"/>
      <c r="E229"/>
      <c r="F229"/>
      <c r="G229"/>
      <c r="J229"/>
      <c r="K229"/>
      <c r="L229"/>
      <c r="M229"/>
      <c r="O229"/>
      <c r="P229"/>
      <c r="Q229"/>
      <c r="R229"/>
      <c r="S229"/>
      <c r="T229"/>
      <c r="U229"/>
      <c r="V229"/>
      <c r="Y229"/>
      <c r="Z229"/>
      <c r="AA229"/>
      <c r="AB229"/>
      <c r="AF229"/>
      <c r="AG229"/>
      <c r="AH229"/>
      <c r="AI229"/>
      <c r="AJ229"/>
      <c r="AK229"/>
      <c r="AN229"/>
      <c r="AO229"/>
      <c r="AP229"/>
      <c r="AQ229"/>
      <c r="AR229"/>
      <c r="AS229"/>
      <c r="AV229"/>
      <c r="AW229"/>
      <c r="AX229"/>
      <c r="AY229"/>
      <c r="AZ229"/>
      <c r="BA229"/>
      <c r="BL229"/>
      <c r="BM229"/>
      <c r="BN229"/>
      <c r="BO229"/>
      <c r="BP229"/>
      <c r="BQ229"/>
    </row>
    <row r="230" spans="4:69" x14ac:dyDescent="0.25">
      <c r="D230"/>
      <c r="E230"/>
      <c r="F230"/>
      <c r="G230"/>
      <c r="J230"/>
      <c r="K230"/>
      <c r="L230"/>
      <c r="M230"/>
      <c r="O230"/>
      <c r="P230"/>
      <c r="Q230"/>
      <c r="R230"/>
      <c r="S230"/>
      <c r="T230"/>
      <c r="U230"/>
      <c r="V230"/>
      <c r="Y230"/>
      <c r="Z230"/>
      <c r="AA230"/>
      <c r="AB230"/>
      <c r="AF230"/>
      <c r="AG230"/>
      <c r="AH230"/>
      <c r="AI230"/>
      <c r="AJ230"/>
      <c r="AK230"/>
      <c r="AN230"/>
      <c r="AO230"/>
      <c r="AP230"/>
      <c r="AQ230"/>
      <c r="AR230"/>
      <c r="AS230"/>
      <c r="AV230"/>
      <c r="AW230"/>
      <c r="AX230"/>
      <c r="AY230"/>
      <c r="AZ230"/>
      <c r="BA230"/>
      <c r="BL230"/>
      <c r="BM230"/>
      <c r="BN230"/>
      <c r="BO230"/>
      <c r="BP230"/>
      <c r="BQ230"/>
    </row>
    <row r="231" spans="4:69" x14ac:dyDescent="0.25">
      <c r="D231"/>
      <c r="E231"/>
      <c r="F231"/>
      <c r="G231"/>
      <c r="J231"/>
      <c r="K231"/>
      <c r="L231"/>
      <c r="M231"/>
      <c r="O231"/>
      <c r="P231"/>
      <c r="Q231"/>
      <c r="R231"/>
      <c r="S231"/>
      <c r="T231"/>
      <c r="U231"/>
      <c r="V231"/>
      <c r="Y231"/>
      <c r="Z231"/>
      <c r="AA231"/>
      <c r="AB231"/>
      <c r="AF231"/>
      <c r="AG231"/>
      <c r="AH231"/>
      <c r="AI231"/>
      <c r="AJ231"/>
      <c r="AK231"/>
      <c r="AN231"/>
      <c r="AO231"/>
      <c r="AP231"/>
      <c r="AQ231"/>
      <c r="AR231"/>
      <c r="AS231"/>
      <c r="AV231"/>
      <c r="AW231"/>
      <c r="AX231"/>
      <c r="AY231"/>
      <c r="AZ231"/>
      <c r="BA231"/>
      <c r="BL231"/>
      <c r="BM231"/>
      <c r="BN231"/>
      <c r="BO231"/>
      <c r="BP231"/>
      <c r="BQ231"/>
    </row>
    <row r="232" spans="4:69" x14ac:dyDescent="0.25">
      <c r="D232"/>
      <c r="E232"/>
      <c r="F232"/>
      <c r="G232"/>
      <c r="J232"/>
      <c r="K232"/>
      <c r="L232"/>
      <c r="M232"/>
      <c r="O232"/>
      <c r="P232"/>
      <c r="Q232"/>
      <c r="R232"/>
      <c r="S232"/>
      <c r="T232"/>
      <c r="U232"/>
      <c r="V232"/>
      <c r="Y232"/>
      <c r="Z232"/>
      <c r="AA232"/>
      <c r="AB232"/>
      <c r="AF232"/>
      <c r="AG232"/>
      <c r="AH232"/>
      <c r="AI232"/>
      <c r="AJ232"/>
      <c r="AK232"/>
      <c r="AN232"/>
      <c r="AO232"/>
      <c r="AP232"/>
      <c r="AQ232"/>
      <c r="AR232"/>
      <c r="AS232"/>
      <c r="AV232"/>
      <c r="AW232"/>
      <c r="AX232"/>
      <c r="AY232"/>
      <c r="AZ232"/>
      <c r="BA232"/>
      <c r="BL232"/>
      <c r="BM232"/>
      <c r="BN232"/>
      <c r="BO232"/>
      <c r="BP232"/>
      <c r="BQ232"/>
    </row>
    <row r="233" spans="4:69" x14ac:dyDescent="0.25">
      <c r="D233"/>
      <c r="E233"/>
      <c r="F233"/>
      <c r="G233"/>
      <c r="J233"/>
      <c r="K233"/>
      <c r="L233"/>
      <c r="M233"/>
      <c r="O233"/>
      <c r="P233"/>
      <c r="Q233"/>
      <c r="R233"/>
      <c r="S233"/>
      <c r="T233"/>
      <c r="U233"/>
      <c r="V233"/>
      <c r="Y233"/>
      <c r="Z233"/>
      <c r="AA233"/>
      <c r="AB233"/>
      <c r="AF233"/>
      <c r="AG233"/>
      <c r="AH233"/>
      <c r="AI233"/>
      <c r="AJ233"/>
      <c r="AK233"/>
      <c r="AN233"/>
      <c r="AO233"/>
      <c r="AP233"/>
      <c r="AQ233"/>
      <c r="AR233"/>
      <c r="AS233"/>
      <c r="AV233"/>
      <c r="AW233"/>
      <c r="AX233"/>
      <c r="AY233"/>
      <c r="AZ233"/>
      <c r="BA233"/>
      <c r="BL233"/>
      <c r="BM233"/>
      <c r="BN233"/>
      <c r="BO233"/>
      <c r="BP233"/>
      <c r="BQ233"/>
    </row>
    <row r="234" spans="4:69" x14ac:dyDescent="0.25">
      <c r="D234"/>
      <c r="E234"/>
      <c r="F234"/>
      <c r="G234"/>
      <c r="J234"/>
      <c r="K234"/>
      <c r="L234"/>
      <c r="M234"/>
      <c r="O234"/>
      <c r="P234"/>
      <c r="Q234"/>
      <c r="R234"/>
      <c r="S234"/>
      <c r="T234"/>
      <c r="U234"/>
      <c r="V234"/>
      <c r="Y234"/>
      <c r="Z234"/>
      <c r="AA234"/>
      <c r="AB234"/>
      <c r="AF234"/>
      <c r="AG234"/>
      <c r="AH234"/>
      <c r="AI234"/>
      <c r="AJ234"/>
      <c r="AK234"/>
      <c r="AN234"/>
      <c r="AO234"/>
      <c r="AP234"/>
      <c r="AQ234"/>
      <c r="AR234"/>
      <c r="AS234"/>
      <c r="AV234"/>
      <c r="AW234"/>
      <c r="AX234"/>
      <c r="AY234"/>
      <c r="AZ234"/>
      <c r="BA234"/>
      <c r="BL234"/>
      <c r="BM234"/>
      <c r="BN234"/>
      <c r="BO234"/>
      <c r="BP234"/>
      <c r="BQ234"/>
    </row>
    <row r="235" spans="4:69" x14ac:dyDescent="0.25">
      <c r="D235"/>
      <c r="E235"/>
      <c r="F235"/>
      <c r="G235"/>
      <c r="J235"/>
      <c r="K235"/>
      <c r="L235"/>
      <c r="M235"/>
      <c r="O235"/>
      <c r="P235"/>
      <c r="Q235"/>
      <c r="R235"/>
      <c r="S235"/>
      <c r="T235"/>
      <c r="U235"/>
      <c r="V235"/>
      <c r="Y235"/>
      <c r="Z235"/>
      <c r="AA235"/>
      <c r="AB235"/>
      <c r="AF235"/>
      <c r="AG235"/>
      <c r="AH235"/>
      <c r="AI235"/>
      <c r="AJ235"/>
      <c r="AK235"/>
      <c r="AN235"/>
      <c r="AO235"/>
      <c r="AP235"/>
      <c r="AQ235"/>
      <c r="AR235"/>
      <c r="AS235"/>
      <c r="AV235"/>
      <c r="AW235"/>
      <c r="AX235"/>
      <c r="AY235"/>
      <c r="AZ235"/>
      <c r="BA235"/>
      <c r="BL235"/>
      <c r="BM235"/>
      <c r="BN235"/>
      <c r="BO235"/>
      <c r="BP235"/>
      <c r="BQ235"/>
    </row>
    <row r="236" spans="4:69" x14ac:dyDescent="0.25">
      <c r="D236"/>
      <c r="E236"/>
      <c r="F236"/>
      <c r="G236"/>
      <c r="J236"/>
      <c r="K236"/>
      <c r="L236"/>
      <c r="M236"/>
      <c r="O236"/>
      <c r="P236"/>
      <c r="Q236"/>
      <c r="R236"/>
      <c r="S236"/>
      <c r="T236"/>
      <c r="U236"/>
      <c r="V236"/>
      <c r="Y236"/>
      <c r="Z236"/>
      <c r="AA236"/>
      <c r="AB236"/>
      <c r="AF236"/>
      <c r="AG236"/>
      <c r="AH236"/>
      <c r="AI236"/>
      <c r="AJ236"/>
      <c r="AK236"/>
      <c r="AN236"/>
      <c r="AO236"/>
      <c r="AP236"/>
      <c r="AQ236"/>
      <c r="AR236"/>
      <c r="AS236"/>
      <c r="AV236"/>
      <c r="AW236"/>
      <c r="AX236"/>
      <c r="AY236"/>
      <c r="AZ236"/>
      <c r="BA236"/>
      <c r="BL236"/>
      <c r="BM236"/>
      <c r="BN236"/>
      <c r="BO236"/>
      <c r="BP236"/>
      <c r="BQ236"/>
    </row>
    <row r="237" spans="4:69" x14ac:dyDescent="0.25">
      <c r="D237"/>
      <c r="E237"/>
      <c r="F237"/>
      <c r="G237"/>
      <c r="J237"/>
      <c r="K237"/>
      <c r="L237"/>
      <c r="M237"/>
      <c r="O237"/>
      <c r="P237"/>
      <c r="Q237"/>
      <c r="R237"/>
      <c r="S237"/>
      <c r="T237"/>
      <c r="U237"/>
      <c r="V237"/>
      <c r="Y237"/>
      <c r="Z237"/>
      <c r="AA237"/>
      <c r="AB237"/>
      <c r="AF237"/>
      <c r="AG237"/>
      <c r="AH237"/>
      <c r="AI237"/>
      <c r="AJ237"/>
      <c r="AK237"/>
      <c r="AN237"/>
      <c r="AO237"/>
      <c r="AP237"/>
      <c r="AQ237"/>
      <c r="AR237"/>
      <c r="AS237"/>
      <c r="AV237"/>
      <c r="AW237"/>
      <c r="AX237"/>
      <c r="AY237"/>
      <c r="AZ237"/>
      <c r="BA237"/>
      <c r="BL237"/>
      <c r="BM237"/>
      <c r="BN237"/>
      <c r="BO237"/>
      <c r="BP237"/>
      <c r="BQ237"/>
    </row>
    <row r="238" spans="4:69" x14ac:dyDescent="0.25">
      <c r="D238"/>
      <c r="E238"/>
      <c r="F238"/>
      <c r="G238"/>
      <c r="J238"/>
      <c r="K238"/>
      <c r="L238"/>
      <c r="M238"/>
      <c r="O238"/>
      <c r="P238"/>
      <c r="Q238"/>
      <c r="R238"/>
      <c r="S238"/>
      <c r="T238"/>
      <c r="U238"/>
      <c r="V238"/>
      <c r="Y238"/>
      <c r="Z238"/>
      <c r="AA238"/>
      <c r="AB238"/>
      <c r="AF238"/>
      <c r="AG238"/>
      <c r="AH238"/>
      <c r="AI238"/>
      <c r="AJ238"/>
      <c r="AK238"/>
      <c r="AN238"/>
      <c r="AO238"/>
      <c r="AP238"/>
      <c r="AQ238"/>
      <c r="AR238"/>
      <c r="AS238"/>
      <c r="AV238"/>
      <c r="AW238"/>
      <c r="AX238"/>
      <c r="AY238"/>
      <c r="AZ238"/>
      <c r="BA238"/>
      <c r="BL238"/>
      <c r="BM238"/>
      <c r="BN238"/>
      <c r="BO238"/>
      <c r="BP238"/>
      <c r="BQ238"/>
    </row>
    <row r="239" spans="4:69" x14ac:dyDescent="0.25">
      <c r="D239"/>
      <c r="E239"/>
      <c r="F239"/>
      <c r="G239"/>
      <c r="J239"/>
      <c r="K239"/>
      <c r="L239"/>
      <c r="M239"/>
      <c r="O239"/>
      <c r="P239"/>
      <c r="Q239"/>
      <c r="R239"/>
      <c r="S239"/>
      <c r="T239"/>
      <c r="U239"/>
      <c r="V239"/>
      <c r="Y239"/>
      <c r="Z239"/>
      <c r="AA239"/>
      <c r="AB239"/>
      <c r="AF239"/>
      <c r="AG239"/>
      <c r="AH239"/>
      <c r="AI239"/>
      <c r="AJ239"/>
      <c r="AK239"/>
      <c r="AN239"/>
      <c r="AO239"/>
      <c r="AP239"/>
      <c r="AQ239"/>
      <c r="AR239"/>
      <c r="AS239"/>
      <c r="AV239"/>
      <c r="AW239"/>
      <c r="AX239"/>
      <c r="AY239"/>
      <c r="AZ239"/>
      <c r="BA239"/>
      <c r="BL239"/>
      <c r="BM239"/>
      <c r="BN239"/>
      <c r="BO239"/>
      <c r="BP239"/>
      <c r="BQ239"/>
    </row>
    <row r="240" spans="4:69" x14ac:dyDescent="0.25">
      <c r="D240"/>
      <c r="E240"/>
      <c r="F240"/>
      <c r="G240"/>
      <c r="J240"/>
      <c r="K240"/>
      <c r="L240"/>
      <c r="M240"/>
      <c r="O240"/>
      <c r="P240"/>
      <c r="Q240"/>
      <c r="R240"/>
      <c r="S240"/>
      <c r="T240"/>
      <c r="U240"/>
      <c r="V240"/>
      <c r="Y240"/>
      <c r="Z240"/>
      <c r="AA240"/>
      <c r="AB240"/>
      <c r="AF240"/>
      <c r="AG240"/>
      <c r="AH240"/>
      <c r="AI240"/>
      <c r="AJ240"/>
      <c r="AK240"/>
      <c r="AN240"/>
      <c r="AO240"/>
      <c r="AP240"/>
      <c r="AQ240"/>
      <c r="AR240"/>
      <c r="AS240"/>
      <c r="AV240"/>
      <c r="AW240"/>
      <c r="AX240"/>
      <c r="AY240"/>
      <c r="AZ240"/>
      <c r="BA240"/>
      <c r="BL240"/>
      <c r="BM240"/>
      <c r="BN240"/>
      <c r="BO240"/>
      <c r="BP240"/>
      <c r="BQ240"/>
    </row>
    <row r="241" spans="4:69" x14ac:dyDescent="0.25">
      <c r="D241"/>
      <c r="E241"/>
      <c r="F241"/>
      <c r="G241"/>
      <c r="J241"/>
      <c r="K241"/>
      <c r="L241"/>
      <c r="M241"/>
      <c r="O241"/>
      <c r="P241"/>
      <c r="Q241"/>
      <c r="R241"/>
      <c r="S241"/>
      <c r="T241"/>
      <c r="U241"/>
      <c r="V241"/>
      <c r="Y241"/>
      <c r="Z241"/>
      <c r="AA241"/>
      <c r="AB241"/>
      <c r="AF241"/>
      <c r="AG241"/>
      <c r="AH241"/>
      <c r="AI241"/>
      <c r="AJ241"/>
      <c r="AK241"/>
      <c r="AN241"/>
      <c r="AO241"/>
      <c r="AP241"/>
      <c r="AQ241"/>
      <c r="AR241"/>
      <c r="AS241"/>
      <c r="AV241"/>
      <c r="AW241"/>
      <c r="AX241"/>
      <c r="AY241"/>
      <c r="AZ241"/>
      <c r="BA241"/>
      <c r="BL241"/>
      <c r="BM241"/>
      <c r="BN241"/>
      <c r="BO241"/>
      <c r="BP241"/>
      <c r="BQ241"/>
    </row>
    <row r="242" spans="4:69" x14ac:dyDescent="0.25">
      <c r="D242"/>
      <c r="E242"/>
      <c r="F242"/>
      <c r="G242"/>
      <c r="J242"/>
      <c r="K242"/>
      <c r="L242"/>
      <c r="M242"/>
      <c r="O242"/>
      <c r="P242"/>
      <c r="Q242"/>
      <c r="R242"/>
      <c r="S242"/>
      <c r="T242"/>
      <c r="U242"/>
      <c r="V242"/>
      <c r="Y242"/>
      <c r="Z242"/>
      <c r="AA242"/>
      <c r="AB242"/>
      <c r="AF242"/>
      <c r="AG242"/>
      <c r="AH242"/>
      <c r="AI242"/>
      <c r="AJ242"/>
      <c r="AK242"/>
      <c r="AN242"/>
      <c r="AO242"/>
      <c r="AP242"/>
      <c r="AQ242"/>
      <c r="AR242"/>
      <c r="AS242"/>
      <c r="AV242"/>
      <c r="AW242"/>
      <c r="AX242"/>
      <c r="AY242"/>
      <c r="AZ242"/>
      <c r="BA242"/>
      <c r="BL242"/>
      <c r="BM242"/>
      <c r="BN242"/>
      <c r="BO242"/>
      <c r="BP242"/>
      <c r="BQ242"/>
    </row>
    <row r="243" spans="4:69" x14ac:dyDescent="0.25">
      <c r="D243"/>
      <c r="E243"/>
      <c r="F243"/>
      <c r="G243"/>
      <c r="J243"/>
      <c r="K243"/>
      <c r="L243"/>
      <c r="M243"/>
      <c r="O243"/>
      <c r="P243"/>
      <c r="Q243"/>
      <c r="R243"/>
      <c r="S243"/>
      <c r="T243"/>
      <c r="U243"/>
      <c r="V243"/>
      <c r="Y243"/>
      <c r="Z243"/>
      <c r="AA243"/>
      <c r="AB243"/>
      <c r="AF243"/>
      <c r="AG243"/>
      <c r="AH243"/>
      <c r="AI243"/>
      <c r="AJ243"/>
      <c r="AK243"/>
      <c r="AN243"/>
      <c r="AO243"/>
      <c r="AP243"/>
      <c r="AQ243"/>
      <c r="AR243"/>
      <c r="AS243"/>
      <c r="AV243"/>
      <c r="AW243"/>
      <c r="AX243"/>
      <c r="AY243"/>
      <c r="AZ243"/>
      <c r="BA243"/>
      <c r="BL243"/>
      <c r="BM243"/>
      <c r="BN243"/>
      <c r="BO243"/>
      <c r="BP243"/>
      <c r="BQ243"/>
    </row>
    <row r="244" spans="4:69" x14ac:dyDescent="0.25">
      <c r="D244"/>
      <c r="E244"/>
      <c r="F244"/>
      <c r="G244"/>
      <c r="J244"/>
      <c r="K244"/>
      <c r="L244"/>
      <c r="M244"/>
      <c r="O244"/>
      <c r="P244"/>
      <c r="Q244"/>
      <c r="R244"/>
      <c r="S244"/>
      <c r="T244"/>
      <c r="U244"/>
      <c r="V244"/>
      <c r="Y244"/>
      <c r="Z244"/>
      <c r="AA244"/>
      <c r="AB244"/>
      <c r="AF244"/>
      <c r="AG244"/>
      <c r="AH244"/>
      <c r="AI244"/>
      <c r="AJ244"/>
      <c r="AK244"/>
      <c r="AN244"/>
      <c r="AO244"/>
      <c r="AP244"/>
      <c r="AQ244"/>
      <c r="AR244"/>
      <c r="AS244"/>
      <c r="AV244"/>
      <c r="AW244"/>
      <c r="AX244"/>
      <c r="AY244"/>
      <c r="AZ244"/>
      <c r="BA244"/>
      <c r="BL244"/>
      <c r="BM244"/>
      <c r="BN244"/>
      <c r="BO244"/>
      <c r="BP244"/>
      <c r="BQ244"/>
    </row>
    <row r="245" spans="4:69" x14ac:dyDescent="0.25">
      <c r="D245"/>
      <c r="E245"/>
      <c r="F245"/>
      <c r="G245"/>
      <c r="J245"/>
      <c r="K245"/>
      <c r="L245"/>
      <c r="M245"/>
      <c r="O245"/>
      <c r="P245"/>
      <c r="Q245"/>
      <c r="R245"/>
      <c r="S245"/>
      <c r="T245"/>
      <c r="U245"/>
      <c r="V245"/>
      <c r="Y245"/>
      <c r="Z245"/>
      <c r="AA245"/>
      <c r="AB245"/>
      <c r="AF245"/>
      <c r="AG245"/>
      <c r="AH245"/>
      <c r="AI245"/>
      <c r="AJ245"/>
      <c r="AK245"/>
      <c r="AN245"/>
      <c r="AO245"/>
      <c r="AP245"/>
      <c r="AQ245"/>
      <c r="AR245"/>
      <c r="AS245"/>
      <c r="AV245"/>
      <c r="AW245"/>
      <c r="AX245"/>
      <c r="AY245"/>
      <c r="AZ245"/>
      <c r="BA245"/>
      <c r="BL245"/>
      <c r="BM245"/>
      <c r="BN245"/>
      <c r="BO245"/>
      <c r="BP245"/>
      <c r="BQ245"/>
    </row>
    <row r="246" spans="4:69" x14ac:dyDescent="0.25">
      <c r="D246"/>
      <c r="E246"/>
      <c r="F246"/>
      <c r="G246"/>
      <c r="J246"/>
      <c r="K246"/>
      <c r="L246"/>
      <c r="M246"/>
      <c r="O246"/>
      <c r="P246"/>
      <c r="Q246"/>
      <c r="R246"/>
      <c r="S246"/>
      <c r="T246"/>
      <c r="U246"/>
      <c r="V246"/>
      <c r="Y246"/>
      <c r="Z246"/>
      <c r="AA246"/>
      <c r="AB246"/>
      <c r="AF246"/>
      <c r="AG246"/>
      <c r="AH246"/>
      <c r="AI246"/>
      <c r="AJ246"/>
      <c r="AK246"/>
      <c r="AN246"/>
      <c r="AO246"/>
      <c r="AP246"/>
      <c r="AQ246"/>
      <c r="AR246"/>
      <c r="AS246"/>
      <c r="AV246"/>
      <c r="AW246"/>
      <c r="AX246"/>
      <c r="AY246"/>
      <c r="AZ246"/>
      <c r="BA246"/>
      <c r="BL246"/>
      <c r="BM246"/>
      <c r="BN246"/>
      <c r="BO246"/>
      <c r="BP246"/>
      <c r="BQ246"/>
    </row>
    <row r="247" spans="4:69" x14ac:dyDescent="0.25">
      <c r="D247"/>
      <c r="E247"/>
      <c r="F247"/>
      <c r="G247"/>
      <c r="J247"/>
      <c r="K247"/>
      <c r="L247"/>
      <c r="M247"/>
      <c r="O247"/>
      <c r="P247"/>
      <c r="Q247"/>
      <c r="R247"/>
      <c r="S247"/>
      <c r="T247"/>
      <c r="U247"/>
      <c r="V247"/>
      <c r="Y247"/>
      <c r="Z247"/>
      <c r="AA247"/>
      <c r="AB247"/>
      <c r="AF247"/>
      <c r="AG247"/>
      <c r="AH247"/>
      <c r="AI247"/>
      <c r="AJ247"/>
      <c r="AK247"/>
      <c r="AN247"/>
      <c r="AO247"/>
      <c r="AP247"/>
      <c r="AQ247"/>
      <c r="AR247"/>
      <c r="AS247"/>
      <c r="AV247"/>
      <c r="AW247"/>
      <c r="AX247"/>
      <c r="AY247"/>
      <c r="AZ247"/>
      <c r="BA247"/>
      <c r="BL247"/>
      <c r="BM247"/>
      <c r="BN247"/>
      <c r="BO247"/>
      <c r="BP247"/>
      <c r="BQ247"/>
    </row>
    <row r="248" spans="4:69" x14ac:dyDescent="0.25">
      <c r="D248"/>
      <c r="E248"/>
      <c r="F248"/>
      <c r="G248"/>
      <c r="J248"/>
      <c r="K248"/>
      <c r="L248"/>
      <c r="M248"/>
      <c r="O248"/>
      <c r="P248"/>
      <c r="Q248"/>
      <c r="R248"/>
      <c r="S248"/>
      <c r="T248"/>
      <c r="U248"/>
      <c r="V248"/>
      <c r="Y248"/>
      <c r="Z248"/>
      <c r="AA248"/>
      <c r="AB248"/>
      <c r="AF248"/>
      <c r="AG248"/>
      <c r="AH248"/>
      <c r="AI248"/>
      <c r="AJ248"/>
      <c r="AK248"/>
      <c r="AN248"/>
      <c r="AO248"/>
      <c r="AP248"/>
      <c r="AQ248"/>
      <c r="AR248"/>
      <c r="AS248"/>
      <c r="AV248"/>
      <c r="AW248"/>
      <c r="AX248"/>
      <c r="AY248"/>
      <c r="AZ248"/>
      <c r="BA248"/>
      <c r="BL248"/>
      <c r="BM248"/>
      <c r="BN248"/>
      <c r="BO248"/>
      <c r="BP248"/>
      <c r="BQ248"/>
    </row>
    <row r="249" spans="4:69" x14ac:dyDescent="0.25">
      <c r="D249"/>
      <c r="E249"/>
      <c r="F249"/>
      <c r="G249"/>
      <c r="J249"/>
      <c r="K249"/>
      <c r="L249"/>
      <c r="M249"/>
      <c r="O249"/>
      <c r="P249"/>
      <c r="Q249"/>
      <c r="R249"/>
      <c r="S249"/>
      <c r="T249"/>
      <c r="U249"/>
      <c r="V249"/>
      <c r="Y249"/>
      <c r="Z249"/>
      <c r="AA249"/>
      <c r="AB249"/>
      <c r="AF249"/>
      <c r="AG249"/>
      <c r="AH249"/>
      <c r="AI249"/>
      <c r="AJ249"/>
      <c r="AK249"/>
      <c r="AN249"/>
      <c r="AO249"/>
      <c r="AP249"/>
      <c r="AQ249"/>
      <c r="AR249"/>
      <c r="AS249"/>
      <c r="AV249"/>
      <c r="AW249"/>
      <c r="AX249"/>
      <c r="AY249"/>
      <c r="AZ249"/>
      <c r="BA249"/>
      <c r="BL249"/>
      <c r="BM249"/>
      <c r="BN249"/>
      <c r="BO249"/>
      <c r="BP249"/>
      <c r="BQ249"/>
    </row>
    <row r="250" spans="4:69" x14ac:dyDescent="0.25">
      <c r="D250"/>
      <c r="E250"/>
      <c r="F250"/>
      <c r="G250"/>
      <c r="J250"/>
      <c r="K250"/>
      <c r="L250"/>
      <c r="M250"/>
      <c r="O250"/>
      <c r="P250"/>
      <c r="Q250"/>
      <c r="R250"/>
      <c r="S250"/>
      <c r="T250"/>
      <c r="U250"/>
      <c r="V250"/>
      <c r="Y250"/>
      <c r="Z250"/>
      <c r="AA250"/>
      <c r="AB250"/>
      <c r="AF250"/>
      <c r="AG250"/>
      <c r="AH250"/>
      <c r="AI250"/>
      <c r="AJ250"/>
      <c r="AK250"/>
      <c r="AN250"/>
      <c r="AO250"/>
      <c r="AP250"/>
      <c r="AQ250"/>
      <c r="AR250"/>
      <c r="AS250"/>
      <c r="AV250"/>
      <c r="AW250"/>
      <c r="AX250"/>
      <c r="AY250"/>
      <c r="AZ250"/>
      <c r="BA250"/>
      <c r="BL250"/>
      <c r="BM250"/>
      <c r="BN250"/>
      <c r="BO250"/>
      <c r="BP250"/>
      <c r="BQ250"/>
    </row>
    <row r="251" spans="4:69" x14ac:dyDescent="0.25">
      <c r="D251"/>
      <c r="E251"/>
      <c r="F251"/>
      <c r="G251"/>
      <c r="J251"/>
      <c r="K251"/>
      <c r="L251"/>
      <c r="M251"/>
      <c r="O251"/>
      <c r="P251"/>
      <c r="Q251"/>
      <c r="R251"/>
      <c r="S251"/>
      <c r="T251"/>
      <c r="U251"/>
      <c r="V251"/>
      <c r="Y251"/>
      <c r="Z251"/>
      <c r="AA251"/>
      <c r="AB251"/>
      <c r="AF251"/>
      <c r="AG251"/>
      <c r="AH251"/>
      <c r="AI251"/>
      <c r="AJ251"/>
      <c r="AK251"/>
      <c r="AN251"/>
      <c r="AO251"/>
      <c r="AP251"/>
      <c r="AQ251"/>
      <c r="AR251"/>
      <c r="AS251"/>
      <c r="AV251"/>
      <c r="AW251"/>
      <c r="AX251"/>
      <c r="AY251"/>
      <c r="AZ251"/>
      <c r="BA251"/>
      <c r="BL251"/>
      <c r="BM251"/>
      <c r="BN251"/>
      <c r="BO251"/>
      <c r="BP251"/>
      <c r="BQ251"/>
    </row>
    <row r="252" spans="4:69" x14ac:dyDescent="0.25">
      <c r="D252"/>
      <c r="E252"/>
      <c r="F252"/>
      <c r="G252"/>
      <c r="J252"/>
      <c r="K252"/>
      <c r="L252"/>
      <c r="M252"/>
      <c r="O252"/>
      <c r="P252"/>
      <c r="Q252"/>
      <c r="R252"/>
      <c r="S252"/>
      <c r="T252"/>
      <c r="U252"/>
      <c r="V252"/>
      <c r="Y252"/>
      <c r="Z252"/>
      <c r="AA252"/>
      <c r="AB252"/>
      <c r="AF252"/>
      <c r="AG252"/>
      <c r="AH252"/>
      <c r="AI252"/>
      <c r="AJ252"/>
      <c r="AK252"/>
      <c r="AN252"/>
      <c r="AO252"/>
      <c r="AP252"/>
      <c r="AQ252"/>
      <c r="AR252"/>
      <c r="AS252"/>
      <c r="AV252"/>
      <c r="AW252"/>
      <c r="AX252"/>
      <c r="AY252"/>
      <c r="AZ252"/>
      <c r="BA252"/>
      <c r="BL252"/>
      <c r="BM252"/>
      <c r="BN252"/>
      <c r="BO252"/>
      <c r="BP252"/>
      <c r="BQ252"/>
    </row>
    <row r="253" spans="4:69" x14ac:dyDescent="0.25">
      <c r="D253"/>
      <c r="E253"/>
      <c r="F253"/>
      <c r="G253"/>
      <c r="J253"/>
      <c r="K253"/>
      <c r="L253"/>
      <c r="M253"/>
      <c r="O253"/>
      <c r="P253"/>
      <c r="Q253"/>
      <c r="R253"/>
      <c r="S253"/>
      <c r="T253"/>
      <c r="U253"/>
      <c r="V253"/>
      <c r="Y253"/>
      <c r="Z253"/>
      <c r="AA253"/>
      <c r="AB253"/>
      <c r="AF253"/>
      <c r="AG253"/>
      <c r="AH253"/>
      <c r="AI253"/>
      <c r="AJ253"/>
      <c r="AK253"/>
      <c r="AN253"/>
      <c r="AO253"/>
      <c r="AP253"/>
      <c r="AQ253"/>
      <c r="AR253"/>
      <c r="AS253"/>
      <c r="AV253"/>
      <c r="AW253"/>
      <c r="AX253"/>
      <c r="AY253"/>
      <c r="AZ253"/>
      <c r="BA253"/>
      <c r="BL253"/>
      <c r="BM253"/>
      <c r="BN253"/>
      <c r="BO253"/>
      <c r="BP253"/>
      <c r="BQ253"/>
    </row>
    <row r="254" spans="4:69" x14ac:dyDescent="0.25">
      <c r="D254"/>
      <c r="E254"/>
      <c r="F254"/>
      <c r="G254"/>
      <c r="J254"/>
      <c r="K254"/>
      <c r="L254"/>
      <c r="M254"/>
      <c r="O254"/>
      <c r="P254"/>
      <c r="Q254"/>
      <c r="R254"/>
      <c r="S254"/>
      <c r="T254"/>
      <c r="U254"/>
      <c r="V254"/>
      <c r="Y254"/>
      <c r="Z254"/>
      <c r="AA254"/>
      <c r="AB254"/>
      <c r="AF254"/>
      <c r="AG254"/>
      <c r="AH254"/>
      <c r="AI254"/>
      <c r="AJ254"/>
      <c r="AK254"/>
      <c r="AN254"/>
      <c r="AO254"/>
      <c r="AP254"/>
      <c r="AQ254"/>
      <c r="AR254"/>
      <c r="AS254"/>
      <c r="AV254"/>
      <c r="AW254"/>
      <c r="AX254"/>
      <c r="AY254"/>
      <c r="AZ254"/>
      <c r="BA254"/>
      <c r="BL254"/>
      <c r="BM254"/>
      <c r="BN254"/>
      <c r="BO254"/>
      <c r="BP254"/>
      <c r="BQ254"/>
    </row>
    <row r="255" spans="4:69" x14ac:dyDescent="0.25">
      <c r="D255"/>
      <c r="E255"/>
      <c r="F255"/>
      <c r="G255"/>
      <c r="J255"/>
      <c r="K255"/>
      <c r="L255"/>
      <c r="M255"/>
      <c r="O255"/>
      <c r="P255"/>
      <c r="Q255"/>
      <c r="R255"/>
      <c r="S255"/>
      <c r="T255"/>
      <c r="U255"/>
      <c r="V255"/>
      <c r="Y255"/>
      <c r="Z255"/>
      <c r="AA255"/>
      <c r="AB255"/>
      <c r="AF255"/>
      <c r="AG255"/>
      <c r="AH255"/>
      <c r="AI255"/>
      <c r="AJ255"/>
      <c r="AK255"/>
      <c r="AN255"/>
      <c r="AO255"/>
      <c r="AP255"/>
      <c r="AQ255"/>
      <c r="AR255"/>
      <c r="AS255"/>
      <c r="AV255"/>
      <c r="AW255"/>
      <c r="AX255"/>
      <c r="AY255"/>
      <c r="AZ255"/>
      <c r="BA255"/>
      <c r="BL255"/>
      <c r="BM255"/>
      <c r="BN255"/>
      <c r="BO255"/>
      <c r="BP255"/>
      <c r="BQ255"/>
    </row>
    <row r="256" spans="4:69" x14ac:dyDescent="0.25">
      <c r="D256"/>
      <c r="E256"/>
      <c r="F256"/>
      <c r="G256"/>
      <c r="J256"/>
      <c r="K256"/>
      <c r="L256"/>
      <c r="M256"/>
      <c r="O256"/>
      <c r="P256"/>
      <c r="Q256"/>
      <c r="R256"/>
      <c r="S256"/>
      <c r="T256"/>
      <c r="U256"/>
      <c r="V256"/>
      <c r="Y256"/>
      <c r="Z256"/>
      <c r="AA256"/>
      <c r="AB256"/>
      <c r="AF256"/>
      <c r="AG256"/>
      <c r="AH256"/>
      <c r="AI256"/>
      <c r="AJ256"/>
      <c r="AK256"/>
      <c r="AN256"/>
      <c r="AO256"/>
      <c r="AP256"/>
      <c r="AQ256"/>
      <c r="AR256"/>
      <c r="AS256"/>
      <c r="AV256"/>
      <c r="AW256"/>
      <c r="AX256"/>
      <c r="AY256"/>
      <c r="AZ256"/>
      <c r="BA256"/>
      <c r="BL256"/>
      <c r="BM256"/>
      <c r="BN256"/>
      <c r="BO256"/>
      <c r="BP256"/>
      <c r="BQ256"/>
    </row>
    <row r="257" spans="4:69" x14ac:dyDescent="0.25">
      <c r="D257"/>
      <c r="E257"/>
      <c r="F257"/>
      <c r="G257"/>
      <c r="J257"/>
      <c r="K257"/>
      <c r="L257"/>
      <c r="M257"/>
      <c r="O257"/>
      <c r="P257"/>
      <c r="Q257"/>
      <c r="R257"/>
      <c r="S257"/>
      <c r="T257"/>
      <c r="U257"/>
      <c r="V257"/>
      <c r="Y257"/>
      <c r="Z257"/>
      <c r="AA257"/>
      <c r="AB257"/>
      <c r="AF257"/>
      <c r="AG257"/>
      <c r="AH257"/>
      <c r="AI257"/>
      <c r="AJ257"/>
      <c r="AK257"/>
      <c r="AN257"/>
      <c r="AO257"/>
      <c r="AP257"/>
      <c r="AQ257"/>
      <c r="AR257"/>
      <c r="AS257"/>
      <c r="AV257"/>
      <c r="AW257"/>
      <c r="AX257"/>
      <c r="AY257"/>
      <c r="AZ257"/>
      <c r="BA257"/>
      <c r="BL257"/>
      <c r="BM257"/>
      <c r="BN257"/>
      <c r="BO257"/>
      <c r="BP257"/>
      <c r="BQ257"/>
    </row>
    <row r="258" spans="4:69" x14ac:dyDescent="0.25">
      <c r="D258"/>
      <c r="E258"/>
      <c r="F258"/>
      <c r="G258"/>
      <c r="J258"/>
      <c r="K258"/>
      <c r="L258"/>
      <c r="M258"/>
      <c r="O258"/>
      <c r="P258"/>
      <c r="Q258"/>
      <c r="R258"/>
      <c r="S258"/>
      <c r="T258"/>
      <c r="U258"/>
      <c r="V258"/>
      <c r="Y258"/>
      <c r="Z258"/>
      <c r="AA258"/>
      <c r="AB258"/>
      <c r="AF258"/>
      <c r="AG258"/>
      <c r="AH258"/>
      <c r="AI258"/>
      <c r="AJ258"/>
      <c r="AK258"/>
      <c r="AN258"/>
      <c r="AO258"/>
      <c r="AP258"/>
      <c r="AQ258"/>
      <c r="AR258"/>
      <c r="AS258"/>
      <c r="AV258"/>
      <c r="AW258"/>
      <c r="AX258"/>
      <c r="AY258"/>
      <c r="AZ258"/>
      <c r="BA258"/>
      <c r="BL258"/>
      <c r="BM258"/>
      <c r="BN258"/>
      <c r="BO258"/>
      <c r="BP258"/>
      <c r="BQ258"/>
    </row>
    <row r="259" spans="4:69" x14ac:dyDescent="0.25">
      <c r="D259"/>
      <c r="E259"/>
      <c r="F259"/>
      <c r="G259"/>
      <c r="J259"/>
      <c r="K259"/>
      <c r="L259"/>
      <c r="M259"/>
      <c r="O259"/>
      <c r="P259"/>
      <c r="Q259"/>
      <c r="R259"/>
      <c r="S259"/>
      <c r="T259"/>
      <c r="U259"/>
      <c r="V259"/>
      <c r="Y259"/>
      <c r="Z259"/>
      <c r="AA259"/>
      <c r="AB259"/>
      <c r="AF259"/>
      <c r="AG259"/>
      <c r="AH259"/>
      <c r="AI259"/>
      <c r="AJ259"/>
      <c r="AK259"/>
      <c r="AN259"/>
      <c r="AO259"/>
      <c r="AP259"/>
      <c r="AQ259"/>
      <c r="AR259"/>
      <c r="AS259"/>
      <c r="AV259"/>
      <c r="AW259"/>
      <c r="AX259"/>
      <c r="AY259"/>
      <c r="AZ259"/>
      <c r="BA259"/>
      <c r="BL259"/>
      <c r="BM259"/>
      <c r="BN259"/>
      <c r="BO259"/>
      <c r="BP259"/>
      <c r="BQ259"/>
    </row>
    <row r="260" spans="4:69" x14ac:dyDescent="0.25">
      <c r="D260"/>
      <c r="E260"/>
      <c r="F260"/>
      <c r="G260"/>
      <c r="J260"/>
      <c r="K260"/>
      <c r="L260"/>
      <c r="M260"/>
      <c r="O260"/>
      <c r="P260"/>
      <c r="Q260"/>
      <c r="R260"/>
      <c r="S260"/>
      <c r="T260"/>
      <c r="U260"/>
      <c r="V260"/>
      <c r="Y260"/>
      <c r="Z260"/>
      <c r="AA260"/>
      <c r="AB260"/>
      <c r="AF260"/>
      <c r="AG260"/>
      <c r="AH260"/>
      <c r="AI260"/>
      <c r="AJ260"/>
      <c r="AK260"/>
      <c r="AN260"/>
      <c r="AO260"/>
      <c r="AP260"/>
      <c r="AQ260"/>
      <c r="AR260"/>
      <c r="AS260"/>
      <c r="AV260"/>
      <c r="AW260"/>
      <c r="AX260"/>
      <c r="AY260"/>
      <c r="AZ260"/>
      <c r="BA260"/>
      <c r="BL260"/>
      <c r="BM260"/>
      <c r="BN260"/>
      <c r="BO260"/>
      <c r="BP260"/>
      <c r="BQ260"/>
    </row>
    <row r="261" spans="4:69" x14ac:dyDescent="0.25">
      <c r="D261"/>
      <c r="E261"/>
      <c r="F261"/>
      <c r="G261"/>
      <c r="J261"/>
      <c r="K261"/>
      <c r="L261"/>
      <c r="M261"/>
      <c r="O261"/>
      <c r="P261"/>
      <c r="Q261"/>
      <c r="R261"/>
      <c r="S261"/>
      <c r="T261"/>
      <c r="U261"/>
      <c r="V261"/>
      <c r="Y261"/>
      <c r="Z261"/>
      <c r="AA261"/>
      <c r="AB261"/>
      <c r="AF261"/>
      <c r="AG261"/>
      <c r="AH261"/>
      <c r="AI261"/>
      <c r="AJ261"/>
      <c r="AK261"/>
      <c r="AN261"/>
      <c r="AO261"/>
      <c r="AP261"/>
      <c r="AQ261"/>
      <c r="AR261"/>
      <c r="AS261"/>
      <c r="AV261"/>
      <c r="AW261"/>
      <c r="AX261"/>
      <c r="AY261"/>
      <c r="AZ261"/>
      <c r="BA261"/>
      <c r="BL261"/>
      <c r="BM261"/>
      <c r="BN261"/>
      <c r="BO261"/>
      <c r="BP261"/>
      <c r="BQ261"/>
    </row>
    <row r="262" spans="4:69" x14ac:dyDescent="0.25">
      <c r="D262"/>
      <c r="E262"/>
      <c r="F262"/>
      <c r="G262"/>
      <c r="J262"/>
      <c r="K262"/>
      <c r="L262"/>
      <c r="M262"/>
      <c r="O262"/>
      <c r="P262"/>
      <c r="Q262"/>
      <c r="R262"/>
      <c r="S262"/>
      <c r="T262"/>
      <c r="U262"/>
      <c r="V262"/>
      <c r="Y262"/>
      <c r="Z262"/>
      <c r="AA262"/>
      <c r="AB262"/>
      <c r="AF262"/>
      <c r="AG262"/>
      <c r="AH262"/>
      <c r="AI262"/>
      <c r="AJ262"/>
      <c r="AK262"/>
      <c r="AN262"/>
      <c r="AO262"/>
      <c r="AP262"/>
      <c r="AQ262"/>
      <c r="AR262"/>
      <c r="AS262"/>
      <c r="AV262"/>
      <c r="AW262"/>
      <c r="AX262"/>
      <c r="AY262"/>
      <c r="AZ262"/>
      <c r="BA262"/>
      <c r="BL262"/>
      <c r="BM262"/>
      <c r="BN262"/>
      <c r="BO262"/>
      <c r="BP262"/>
      <c r="BQ262"/>
    </row>
    <row r="263" spans="4:69" x14ac:dyDescent="0.25">
      <c r="D263"/>
      <c r="E263"/>
      <c r="F263"/>
      <c r="G263"/>
      <c r="J263"/>
      <c r="K263"/>
      <c r="L263"/>
      <c r="M263"/>
      <c r="O263"/>
      <c r="P263"/>
      <c r="Q263"/>
      <c r="R263"/>
      <c r="S263"/>
      <c r="T263"/>
      <c r="U263"/>
      <c r="V263"/>
      <c r="Y263"/>
      <c r="Z263"/>
      <c r="AA263"/>
      <c r="AB263"/>
      <c r="AF263"/>
      <c r="AG263"/>
      <c r="AH263"/>
      <c r="AI263"/>
      <c r="AJ263"/>
      <c r="AK263"/>
      <c r="AN263"/>
      <c r="AO263"/>
      <c r="AP263"/>
      <c r="AQ263"/>
      <c r="AR263"/>
      <c r="AS263"/>
      <c r="AV263"/>
      <c r="AW263"/>
      <c r="AX263"/>
      <c r="AY263"/>
      <c r="AZ263"/>
      <c r="BA263"/>
      <c r="BL263"/>
      <c r="BM263"/>
      <c r="BN263"/>
      <c r="BO263"/>
      <c r="BP263"/>
      <c r="BQ263"/>
    </row>
    <row r="264" spans="4:69" x14ac:dyDescent="0.25">
      <c r="D264"/>
      <c r="E264"/>
      <c r="F264"/>
      <c r="G264"/>
      <c r="J264"/>
      <c r="K264"/>
      <c r="L264"/>
      <c r="M264"/>
      <c r="O264"/>
      <c r="P264"/>
      <c r="Q264"/>
      <c r="R264"/>
      <c r="S264"/>
      <c r="T264"/>
      <c r="U264"/>
      <c r="V264"/>
      <c r="Y264"/>
      <c r="Z264"/>
      <c r="AA264"/>
      <c r="AB264"/>
      <c r="AF264"/>
      <c r="AG264"/>
      <c r="AH264"/>
      <c r="AI264"/>
      <c r="AJ264"/>
      <c r="AK264"/>
      <c r="AN264"/>
      <c r="AO264"/>
      <c r="AP264"/>
      <c r="AQ264"/>
      <c r="AR264"/>
      <c r="AS264"/>
      <c r="AV264"/>
      <c r="AW264"/>
      <c r="AX264"/>
      <c r="AY264"/>
      <c r="AZ264"/>
      <c r="BA264"/>
      <c r="BL264"/>
      <c r="BM264"/>
      <c r="BN264"/>
      <c r="BO264"/>
      <c r="BP264"/>
      <c r="BQ264"/>
    </row>
    <row r="265" spans="4:69" x14ac:dyDescent="0.25">
      <c r="D265"/>
      <c r="E265"/>
      <c r="F265"/>
      <c r="G265"/>
      <c r="J265"/>
      <c r="K265"/>
      <c r="L265"/>
      <c r="M265"/>
      <c r="O265"/>
      <c r="P265"/>
      <c r="Q265"/>
      <c r="R265"/>
      <c r="S265"/>
      <c r="T265"/>
      <c r="U265"/>
      <c r="V265"/>
      <c r="Y265"/>
      <c r="Z265"/>
      <c r="AA265"/>
      <c r="AB265"/>
      <c r="AF265"/>
      <c r="AG265"/>
      <c r="AH265"/>
      <c r="AI265"/>
      <c r="AJ265"/>
      <c r="AK265"/>
      <c r="AN265"/>
      <c r="AO265"/>
      <c r="AP265"/>
      <c r="AQ265"/>
      <c r="AR265"/>
      <c r="AS265"/>
      <c r="AV265"/>
      <c r="AW265"/>
      <c r="AX265"/>
      <c r="AY265"/>
      <c r="AZ265"/>
      <c r="BA265"/>
      <c r="BL265"/>
      <c r="BM265"/>
      <c r="BN265"/>
      <c r="BO265"/>
      <c r="BP265"/>
      <c r="BQ265"/>
    </row>
    <row r="266" spans="4:69" x14ac:dyDescent="0.25">
      <c r="D266"/>
      <c r="E266"/>
      <c r="F266"/>
      <c r="G266"/>
      <c r="J266"/>
      <c r="K266"/>
      <c r="L266"/>
      <c r="M266"/>
      <c r="O266"/>
      <c r="P266"/>
      <c r="Q266"/>
      <c r="R266"/>
      <c r="S266"/>
      <c r="T266"/>
      <c r="U266"/>
      <c r="V266"/>
      <c r="Y266"/>
      <c r="Z266"/>
      <c r="AA266"/>
      <c r="AB266"/>
      <c r="AF266"/>
      <c r="AG266"/>
      <c r="AH266"/>
      <c r="AI266"/>
      <c r="AJ266"/>
      <c r="AK266"/>
      <c r="AN266"/>
      <c r="AO266"/>
      <c r="AP266"/>
      <c r="AQ266"/>
      <c r="AR266"/>
      <c r="AS266"/>
      <c r="AV266"/>
      <c r="AW266"/>
      <c r="AX266"/>
      <c r="AY266"/>
      <c r="AZ266"/>
      <c r="BA266"/>
      <c r="BL266"/>
      <c r="BM266"/>
      <c r="BN266"/>
      <c r="BO266"/>
      <c r="BP266"/>
      <c r="BQ266"/>
    </row>
    <row r="267" spans="4:69" x14ac:dyDescent="0.25">
      <c r="D267"/>
      <c r="E267"/>
      <c r="F267"/>
      <c r="G267"/>
      <c r="J267"/>
      <c r="K267"/>
      <c r="L267"/>
      <c r="M267"/>
      <c r="O267"/>
      <c r="P267"/>
      <c r="Q267"/>
      <c r="R267"/>
      <c r="S267"/>
      <c r="T267"/>
      <c r="U267"/>
      <c r="V267"/>
      <c r="Y267"/>
      <c r="Z267"/>
      <c r="AA267"/>
      <c r="AB267"/>
      <c r="AF267"/>
      <c r="AG267"/>
      <c r="AH267"/>
      <c r="AI267"/>
      <c r="AJ267"/>
      <c r="AK267"/>
      <c r="AN267"/>
      <c r="AO267"/>
      <c r="AP267"/>
      <c r="AQ267"/>
      <c r="AR267"/>
      <c r="AS267"/>
      <c r="AV267"/>
      <c r="AW267"/>
      <c r="AX267"/>
      <c r="AY267"/>
      <c r="AZ267"/>
      <c r="BA267"/>
      <c r="BL267"/>
      <c r="BM267"/>
      <c r="BN267"/>
      <c r="BO267"/>
      <c r="BP267"/>
      <c r="BQ267"/>
    </row>
    <row r="268" spans="4:69" x14ac:dyDescent="0.25">
      <c r="D268"/>
      <c r="E268"/>
      <c r="F268"/>
      <c r="G268"/>
      <c r="J268"/>
      <c r="K268"/>
      <c r="L268"/>
      <c r="M268"/>
      <c r="O268"/>
      <c r="P268"/>
      <c r="Q268"/>
      <c r="R268"/>
      <c r="S268"/>
      <c r="T268"/>
      <c r="U268"/>
      <c r="V268"/>
      <c r="Y268"/>
      <c r="Z268"/>
      <c r="AA268"/>
      <c r="AB268"/>
      <c r="AF268"/>
      <c r="AG268"/>
      <c r="AH268"/>
      <c r="AI268"/>
      <c r="AJ268"/>
      <c r="AK268"/>
      <c r="AN268"/>
      <c r="AO268"/>
      <c r="AP268"/>
      <c r="AQ268"/>
      <c r="AR268"/>
      <c r="AS268"/>
      <c r="AV268"/>
      <c r="AW268"/>
      <c r="AX268"/>
      <c r="AY268"/>
      <c r="AZ268"/>
      <c r="BA268"/>
      <c r="BL268"/>
      <c r="BM268"/>
      <c r="BN268"/>
      <c r="BO268"/>
      <c r="BP268"/>
      <c r="BQ268"/>
    </row>
    <row r="269" spans="4:69" x14ac:dyDescent="0.25">
      <c r="D269"/>
      <c r="E269"/>
      <c r="F269"/>
      <c r="G269"/>
      <c r="J269"/>
      <c r="K269"/>
      <c r="L269"/>
      <c r="M269"/>
      <c r="O269"/>
      <c r="P269"/>
      <c r="Q269"/>
      <c r="R269"/>
      <c r="S269"/>
      <c r="T269"/>
      <c r="U269"/>
      <c r="V269"/>
      <c r="Y269"/>
      <c r="Z269"/>
      <c r="AA269"/>
      <c r="AB269"/>
      <c r="AF269"/>
      <c r="AG269"/>
      <c r="AH269"/>
      <c r="AI269"/>
      <c r="AJ269"/>
      <c r="AK269"/>
      <c r="AN269"/>
      <c r="AO269"/>
      <c r="AP269"/>
      <c r="AQ269"/>
      <c r="AR269"/>
      <c r="AS269"/>
      <c r="AV269"/>
      <c r="AW269"/>
      <c r="AX269"/>
      <c r="AY269"/>
      <c r="AZ269"/>
      <c r="BA269"/>
      <c r="BL269"/>
      <c r="BM269"/>
      <c r="BN269"/>
      <c r="BO269"/>
      <c r="BP269"/>
      <c r="BQ269"/>
    </row>
    <row r="270" spans="4:69" x14ac:dyDescent="0.25">
      <c r="D270"/>
      <c r="E270"/>
      <c r="F270"/>
      <c r="G270"/>
      <c r="J270"/>
      <c r="K270"/>
      <c r="L270"/>
      <c r="M270"/>
      <c r="O270"/>
      <c r="P270"/>
      <c r="Q270"/>
      <c r="R270"/>
      <c r="S270"/>
      <c r="T270"/>
      <c r="U270"/>
      <c r="V270"/>
      <c r="Y270"/>
      <c r="Z270"/>
      <c r="AA270"/>
      <c r="AB270"/>
      <c r="AF270"/>
      <c r="AG270"/>
      <c r="AH270"/>
      <c r="AI270"/>
      <c r="AJ270"/>
      <c r="AK270"/>
      <c r="AN270"/>
      <c r="AO270"/>
      <c r="AP270"/>
      <c r="AQ270"/>
      <c r="AR270"/>
      <c r="AS270"/>
      <c r="AV270"/>
      <c r="AW270"/>
      <c r="AX270"/>
      <c r="AY270"/>
      <c r="AZ270"/>
      <c r="BA270"/>
      <c r="BL270"/>
      <c r="BM270"/>
      <c r="BN270"/>
      <c r="BO270"/>
      <c r="BP270"/>
      <c r="BQ270"/>
    </row>
    <row r="271" spans="4:69" x14ac:dyDescent="0.25">
      <c r="D271"/>
      <c r="E271"/>
      <c r="F271"/>
      <c r="G271"/>
      <c r="J271"/>
      <c r="K271"/>
      <c r="L271"/>
      <c r="M271"/>
      <c r="O271"/>
      <c r="P271"/>
      <c r="Q271"/>
      <c r="R271"/>
      <c r="S271"/>
      <c r="T271"/>
      <c r="U271"/>
      <c r="V271"/>
      <c r="Y271"/>
      <c r="Z271"/>
      <c r="AA271"/>
      <c r="AB271"/>
      <c r="AF271"/>
      <c r="AG271"/>
      <c r="AH271"/>
      <c r="AI271"/>
      <c r="AJ271"/>
      <c r="AK271"/>
      <c r="AN271"/>
      <c r="AO271"/>
      <c r="AP271"/>
      <c r="AQ271"/>
      <c r="AR271"/>
      <c r="AS271"/>
      <c r="AV271"/>
      <c r="AW271"/>
      <c r="AX271"/>
      <c r="AY271"/>
      <c r="AZ271"/>
      <c r="BA271"/>
      <c r="BL271"/>
      <c r="BM271"/>
      <c r="BN271"/>
      <c r="BO271"/>
      <c r="BP271"/>
      <c r="BQ271"/>
    </row>
    <row r="272" spans="4:69" x14ac:dyDescent="0.25">
      <c r="D272"/>
      <c r="E272"/>
      <c r="F272"/>
      <c r="G272"/>
      <c r="J272"/>
      <c r="K272"/>
      <c r="L272"/>
      <c r="M272"/>
      <c r="O272"/>
      <c r="P272"/>
      <c r="Q272"/>
      <c r="R272"/>
      <c r="S272"/>
      <c r="T272"/>
      <c r="U272"/>
      <c r="V272"/>
      <c r="Y272"/>
      <c r="Z272"/>
      <c r="AA272"/>
      <c r="AB272"/>
      <c r="AF272"/>
      <c r="AG272"/>
      <c r="AH272"/>
      <c r="AI272"/>
      <c r="AJ272"/>
      <c r="AK272"/>
      <c r="AN272"/>
      <c r="AO272"/>
      <c r="AP272"/>
      <c r="AQ272"/>
      <c r="AR272"/>
      <c r="AS272"/>
      <c r="AV272"/>
      <c r="AW272"/>
      <c r="AX272"/>
      <c r="AY272"/>
      <c r="AZ272"/>
      <c r="BA272"/>
      <c r="BL272"/>
      <c r="BM272"/>
      <c r="BN272"/>
      <c r="BO272"/>
      <c r="BP272"/>
      <c r="BQ272"/>
    </row>
    <row r="273" spans="4:69" x14ac:dyDescent="0.25">
      <c r="D273"/>
      <c r="E273"/>
      <c r="F273"/>
      <c r="G273"/>
      <c r="J273"/>
      <c r="K273"/>
      <c r="L273"/>
      <c r="M273"/>
      <c r="O273"/>
      <c r="P273"/>
      <c r="Q273"/>
      <c r="R273"/>
      <c r="S273"/>
      <c r="T273"/>
      <c r="U273"/>
      <c r="V273"/>
      <c r="Y273"/>
      <c r="Z273"/>
      <c r="AA273"/>
      <c r="AB273"/>
      <c r="AF273"/>
      <c r="AG273"/>
      <c r="AH273"/>
      <c r="AI273"/>
      <c r="AJ273"/>
      <c r="AK273"/>
      <c r="AN273"/>
      <c r="AO273"/>
      <c r="AP273"/>
      <c r="AQ273"/>
      <c r="AR273"/>
      <c r="AS273"/>
      <c r="AV273"/>
      <c r="AW273"/>
      <c r="AX273"/>
      <c r="AY273"/>
      <c r="AZ273"/>
      <c r="BA273"/>
      <c r="BL273"/>
      <c r="BM273"/>
      <c r="BN273"/>
      <c r="BO273"/>
      <c r="BP273"/>
      <c r="BQ273"/>
    </row>
    <row r="274" spans="4:69" x14ac:dyDescent="0.25">
      <c r="D274"/>
      <c r="E274"/>
      <c r="F274"/>
      <c r="G274"/>
      <c r="J274"/>
      <c r="K274"/>
      <c r="L274"/>
      <c r="M274"/>
      <c r="O274"/>
      <c r="P274"/>
      <c r="Q274"/>
      <c r="R274"/>
      <c r="S274"/>
      <c r="T274"/>
      <c r="U274"/>
      <c r="V274"/>
      <c r="Y274"/>
      <c r="Z274"/>
      <c r="AA274"/>
      <c r="AB274"/>
      <c r="AF274"/>
      <c r="AG274"/>
      <c r="AH274"/>
      <c r="AI274"/>
      <c r="AJ274"/>
      <c r="AK274"/>
      <c r="AN274"/>
      <c r="AO274"/>
      <c r="AP274"/>
      <c r="AQ274"/>
      <c r="AR274"/>
      <c r="AS274"/>
      <c r="AV274"/>
      <c r="AW274"/>
      <c r="AX274"/>
      <c r="AY274"/>
      <c r="AZ274"/>
      <c r="BA274"/>
      <c r="BL274"/>
      <c r="BM274"/>
      <c r="BN274"/>
      <c r="BO274"/>
      <c r="BP274"/>
      <c r="BQ274"/>
    </row>
    <row r="275" spans="4:69" x14ac:dyDescent="0.25">
      <c r="D275"/>
      <c r="E275"/>
      <c r="F275"/>
      <c r="G275"/>
      <c r="J275"/>
      <c r="K275"/>
      <c r="L275"/>
      <c r="M275"/>
      <c r="O275"/>
      <c r="P275"/>
      <c r="Q275"/>
      <c r="R275"/>
      <c r="S275"/>
      <c r="T275"/>
      <c r="U275"/>
      <c r="V275"/>
      <c r="Y275"/>
      <c r="Z275"/>
      <c r="AA275"/>
      <c r="AB275"/>
      <c r="AF275"/>
      <c r="AG275"/>
      <c r="AH275"/>
      <c r="AI275"/>
      <c r="AJ275"/>
      <c r="AK275"/>
      <c r="AN275"/>
      <c r="AO275"/>
      <c r="AP275"/>
      <c r="AQ275"/>
      <c r="AR275"/>
      <c r="AS275"/>
      <c r="AV275"/>
      <c r="AW275"/>
      <c r="AX275"/>
      <c r="AY275"/>
      <c r="AZ275"/>
      <c r="BA275"/>
      <c r="BL275"/>
      <c r="BM275"/>
      <c r="BN275"/>
      <c r="BO275"/>
      <c r="BP275"/>
      <c r="BQ275"/>
    </row>
    <row r="276" spans="4:69" x14ac:dyDescent="0.25">
      <c r="D276"/>
      <c r="E276"/>
      <c r="F276"/>
      <c r="G276"/>
      <c r="J276"/>
      <c r="K276"/>
      <c r="L276"/>
      <c r="M276"/>
      <c r="O276"/>
      <c r="P276"/>
      <c r="Q276"/>
      <c r="R276"/>
      <c r="S276"/>
      <c r="T276"/>
      <c r="U276"/>
      <c r="V276"/>
      <c r="Y276"/>
      <c r="Z276"/>
      <c r="AA276"/>
      <c r="AB276"/>
      <c r="AF276"/>
      <c r="AG276"/>
      <c r="AH276"/>
      <c r="AI276"/>
      <c r="AJ276"/>
      <c r="AK276"/>
      <c r="AN276"/>
      <c r="AO276"/>
      <c r="AP276"/>
      <c r="AQ276"/>
      <c r="AR276"/>
      <c r="AS276"/>
      <c r="AV276"/>
      <c r="AW276"/>
      <c r="AX276"/>
      <c r="AY276"/>
      <c r="AZ276"/>
      <c r="BA276"/>
      <c r="BL276"/>
      <c r="BM276"/>
      <c r="BN276"/>
      <c r="BO276"/>
      <c r="BP276"/>
      <c r="BQ276"/>
    </row>
    <row r="277" spans="4:69" x14ac:dyDescent="0.25">
      <c r="D277"/>
      <c r="E277"/>
      <c r="F277"/>
      <c r="G277"/>
      <c r="J277"/>
      <c r="K277"/>
      <c r="L277"/>
      <c r="M277"/>
      <c r="O277"/>
      <c r="P277"/>
      <c r="Q277"/>
      <c r="R277"/>
      <c r="S277"/>
      <c r="T277"/>
      <c r="U277"/>
      <c r="V277"/>
      <c r="Y277"/>
      <c r="Z277"/>
      <c r="AA277"/>
      <c r="AB277"/>
      <c r="AF277"/>
      <c r="AG277"/>
      <c r="AH277"/>
      <c r="AI277"/>
      <c r="AJ277"/>
      <c r="AK277"/>
      <c r="AN277"/>
      <c r="AO277"/>
      <c r="AP277"/>
      <c r="AQ277"/>
      <c r="AR277"/>
      <c r="AS277"/>
      <c r="AV277"/>
      <c r="AW277"/>
      <c r="AX277"/>
      <c r="AY277"/>
      <c r="AZ277"/>
      <c r="BA277"/>
      <c r="BL277"/>
      <c r="BM277"/>
      <c r="BN277"/>
      <c r="BO277"/>
      <c r="BP277"/>
      <c r="BQ277"/>
    </row>
    <row r="278" spans="4:69" x14ac:dyDescent="0.25">
      <c r="D278"/>
      <c r="E278"/>
      <c r="F278"/>
      <c r="G278"/>
      <c r="J278"/>
      <c r="K278"/>
      <c r="L278"/>
      <c r="M278"/>
      <c r="O278"/>
      <c r="P278"/>
      <c r="Q278"/>
      <c r="R278"/>
      <c r="S278"/>
      <c r="T278"/>
      <c r="U278"/>
      <c r="V278"/>
      <c r="Y278"/>
      <c r="Z278"/>
      <c r="AA278"/>
      <c r="AB278"/>
      <c r="AF278"/>
      <c r="AG278"/>
      <c r="AH278"/>
      <c r="AI278"/>
      <c r="AJ278"/>
      <c r="AK278"/>
      <c r="AN278"/>
      <c r="AO278"/>
      <c r="AP278"/>
      <c r="AQ278"/>
      <c r="AR278"/>
      <c r="AS278"/>
      <c r="AV278"/>
      <c r="AW278"/>
      <c r="AX278"/>
      <c r="AY278"/>
      <c r="AZ278"/>
      <c r="BA278"/>
      <c r="BL278"/>
      <c r="BM278"/>
      <c r="BN278"/>
      <c r="BO278"/>
      <c r="BP278"/>
      <c r="BQ278"/>
    </row>
    <row r="279" spans="4:69" x14ac:dyDescent="0.25">
      <c r="D279"/>
      <c r="E279"/>
      <c r="F279"/>
      <c r="G279"/>
      <c r="J279"/>
      <c r="K279"/>
      <c r="L279"/>
      <c r="M279"/>
      <c r="O279"/>
      <c r="P279"/>
      <c r="Q279"/>
      <c r="R279"/>
      <c r="S279"/>
      <c r="T279"/>
      <c r="U279"/>
      <c r="V279"/>
      <c r="Y279"/>
      <c r="Z279"/>
      <c r="AA279"/>
      <c r="AB279"/>
      <c r="AF279"/>
      <c r="AG279"/>
      <c r="AH279"/>
      <c r="AI279"/>
      <c r="AJ279"/>
      <c r="AK279"/>
      <c r="AN279"/>
      <c r="AO279"/>
      <c r="AP279"/>
      <c r="AQ279"/>
      <c r="AR279"/>
      <c r="AS279"/>
      <c r="AV279"/>
      <c r="AW279"/>
      <c r="AX279"/>
      <c r="AY279"/>
      <c r="AZ279"/>
      <c r="BA279"/>
      <c r="BL279"/>
      <c r="BM279"/>
      <c r="BN279"/>
      <c r="BO279"/>
      <c r="BP279"/>
      <c r="BQ279"/>
    </row>
    <row r="280" spans="4:69" x14ac:dyDescent="0.25">
      <c r="D280"/>
      <c r="E280"/>
      <c r="F280"/>
      <c r="G280"/>
      <c r="J280"/>
      <c r="K280"/>
      <c r="L280"/>
      <c r="M280"/>
      <c r="O280"/>
      <c r="P280"/>
      <c r="Q280"/>
      <c r="R280"/>
      <c r="S280"/>
      <c r="T280"/>
      <c r="U280"/>
      <c r="V280"/>
      <c r="Y280"/>
      <c r="Z280"/>
      <c r="AA280"/>
      <c r="AB280"/>
      <c r="AF280"/>
      <c r="AG280"/>
      <c r="AH280"/>
      <c r="AI280"/>
      <c r="AJ280"/>
      <c r="AK280"/>
      <c r="AN280"/>
      <c r="AO280"/>
      <c r="AP280"/>
      <c r="AQ280"/>
      <c r="AR280"/>
      <c r="AS280"/>
      <c r="AV280"/>
      <c r="AW280"/>
      <c r="AX280"/>
      <c r="AY280"/>
      <c r="AZ280"/>
      <c r="BA280"/>
      <c r="BL280"/>
      <c r="BM280"/>
      <c r="BN280"/>
      <c r="BO280"/>
      <c r="BP280"/>
      <c r="BQ280"/>
    </row>
    <row r="281" spans="4:69" x14ac:dyDescent="0.25">
      <c r="D281"/>
      <c r="E281"/>
      <c r="F281"/>
      <c r="G281"/>
      <c r="J281"/>
      <c r="K281"/>
      <c r="L281"/>
      <c r="M281"/>
      <c r="O281"/>
      <c r="P281"/>
      <c r="Q281"/>
      <c r="R281"/>
      <c r="S281"/>
      <c r="T281"/>
      <c r="U281"/>
      <c r="V281"/>
      <c r="Y281"/>
      <c r="Z281"/>
      <c r="AA281"/>
      <c r="AB281"/>
      <c r="AF281"/>
      <c r="AG281"/>
      <c r="AH281"/>
      <c r="AI281"/>
      <c r="AJ281"/>
      <c r="AK281"/>
      <c r="AN281"/>
      <c r="AO281"/>
      <c r="AP281"/>
      <c r="AQ281"/>
      <c r="AR281"/>
      <c r="AS281"/>
      <c r="AV281"/>
      <c r="AW281"/>
      <c r="AX281"/>
      <c r="AY281"/>
      <c r="AZ281"/>
      <c r="BA281"/>
      <c r="BL281"/>
      <c r="BM281"/>
      <c r="BN281"/>
      <c r="BO281"/>
      <c r="BP281"/>
      <c r="BQ281"/>
    </row>
    <row r="282" spans="4:69" x14ac:dyDescent="0.25">
      <c r="D282"/>
      <c r="E282"/>
      <c r="F282"/>
      <c r="G282"/>
      <c r="J282"/>
      <c r="K282"/>
      <c r="L282"/>
      <c r="M282"/>
      <c r="O282"/>
      <c r="P282"/>
      <c r="Q282"/>
      <c r="R282"/>
      <c r="S282"/>
      <c r="T282"/>
      <c r="U282"/>
      <c r="V282"/>
      <c r="Y282"/>
      <c r="Z282"/>
      <c r="AA282"/>
      <c r="AB282"/>
      <c r="AF282"/>
      <c r="AG282"/>
      <c r="AH282"/>
      <c r="AI282"/>
      <c r="AJ282"/>
      <c r="AK282"/>
      <c r="AN282"/>
      <c r="AO282"/>
      <c r="AP282"/>
      <c r="AQ282"/>
      <c r="AR282"/>
      <c r="AS282"/>
      <c r="AV282"/>
      <c r="AW282"/>
      <c r="AX282"/>
      <c r="AY282"/>
      <c r="AZ282"/>
      <c r="BA282"/>
      <c r="BL282"/>
      <c r="BM282"/>
      <c r="BN282"/>
      <c r="BO282"/>
      <c r="BP282"/>
      <c r="BQ282"/>
    </row>
    <row r="283" spans="4:69" x14ac:dyDescent="0.25">
      <c r="D283"/>
      <c r="E283"/>
      <c r="F283"/>
      <c r="G283"/>
      <c r="J283"/>
      <c r="K283"/>
      <c r="L283"/>
      <c r="M283"/>
      <c r="O283"/>
      <c r="P283"/>
      <c r="Q283"/>
      <c r="R283"/>
      <c r="S283"/>
      <c r="T283"/>
      <c r="U283"/>
      <c r="V283"/>
      <c r="Y283"/>
      <c r="Z283"/>
      <c r="AA283"/>
      <c r="AB283"/>
      <c r="AF283"/>
      <c r="AG283"/>
      <c r="AH283"/>
      <c r="AI283"/>
      <c r="AJ283"/>
      <c r="AK283"/>
      <c r="AN283"/>
      <c r="AO283"/>
      <c r="AP283"/>
      <c r="AQ283"/>
      <c r="AR283"/>
      <c r="AS283"/>
      <c r="AV283"/>
      <c r="AW283"/>
      <c r="AX283"/>
      <c r="AY283"/>
      <c r="AZ283"/>
      <c r="BA283"/>
      <c r="BL283"/>
      <c r="BM283"/>
      <c r="BN283"/>
      <c r="BO283"/>
      <c r="BP283"/>
      <c r="BQ283"/>
    </row>
    <row r="284" spans="4:69" x14ac:dyDescent="0.25">
      <c r="D284"/>
      <c r="E284"/>
      <c r="F284"/>
      <c r="G284"/>
      <c r="J284"/>
      <c r="K284"/>
      <c r="L284"/>
      <c r="M284"/>
      <c r="O284"/>
      <c r="P284"/>
      <c r="Q284"/>
      <c r="R284"/>
      <c r="S284"/>
      <c r="T284"/>
      <c r="U284"/>
      <c r="V284"/>
      <c r="Y284"/>
      <c r="Z284"/>
      <c r="AA284"/>
      <c r="AB284"/>
      <c r="AF284"/>
      <c r="AG284"/>
      <c r="AH284"/>
      <c r="AI284"/>
      <c r="AJ284"/>
      <c r="AK284"/>
      <c r="AN284"/>
      <c r="AO284"/>
      <c r="AP284"/>
      <c r="AQ284"/>
      <c r="AR284"/>
      <c r="AS284"/>
      <c r="AV284"/>
      <c r="AW284"/>
      <c r="AX284"/>
      <c r="AY284"/>
      <c r="AZ284"/>
      <c r="BA284"/>
      <c r="BL284"/>
      <c r="BM284"/>
      <c r="BN284"/>
      <c r="BO284"/>
      <c r="BP284"/>
      <c r="BQ284"/>
    </row>
    <row r="285" spans="4:69" x14ac:dyDescent="0.25">
      <c r="D285"/>
      <c r="E285"/>
      <c r="F285"/>
      <c r="G285"/>
      <c r="J285"/>
      <c r="K285"/>
      <c r="L285"/>
      <c r="M285"/>
      <c r="O285"/>
      <c r="P285"/>
      <c r="Q285"/>
      <c r="R285"/>
      <c r="S285"/>
      <c r="T285"/>
      <c r="U285"/>
      <c r="V285"/>
      <c r="Y285"/>
      <c r="Z285"/>
      <c r="AA285"/>
      <c r="AB285"/>
      <c r="AF285"/>
      <c r="AG285"/>
      <c r="AH285"/>
      <c r="AI285"/>
      <c r="AJ285"/>
      <c r="AK285"/>
      <c r="AN285"/>
      <c r="AO285"/>
      <c r="AP285"/>
      <c r="AQ285"/>
      <c r="AR285"/>
      <c r="AS285"/>
      <c r="AV285"/>
      <c r="AW285"/>
      <c r="AX285"/>
      <c r="AY285"/>
      <c r="AZ285"/>
      <c r="BA285"/>
      <c r="BL285"/>
      <c r="BM285"/>
      <c r="BN285"/>
      <c r="BO285"/>
      <c r="BP285"/>
      <c r="BQ285"/>
    </row>
    <row r="286" spans="4:69" x14ac:dyDescent="0.25">
      <c r="D286"/>
      <c r="E286"/>
      <c r="F286"/>
      <c r="G286"/>
      <c r="J286"/>
      <c r="K286"/>
      <c r="L286"/>
      <c r="M286"/>
      <c r="O286"/>
      <c r="P286"/>
      <c r="Q286"/>
      <c r="R286"/>
      <c r="S286"/>
      <c r="T286"/>
      <c r="U286"/>
      <c r="V286"/>
      <c r="Y286"/>
      <c r="Z286"/>
      <c r="AA286"/>
      <c r="AB286"/>
      <c r="AF286"/>
      <c r="AG286"/>
      <c r="AH286"/>
      <c r="AI286"/>
      <c r="AJ286"/>
      <c r="AK286"/>
      <c r="AN286"/>
      <c r="AO286"/>
      <c r="AP286"/>
      <c r="AQ286"/>
      <c r="AR286"/>
      <c r="AS286"/>
      <c r="AV286"/>
      <c r="AW286"/>
      <c r="AX286"/>
      <c r="AY286"/>
      <c r="AZ286"/>
      <c r="BA286"/>
      <c r="BL286"/>
      <c r="BM286"/>
      <c r="BN286"/>
      <c r="BO286"/>
      <c r="BP286"/>
      <c r="BQ286"/>
    </row>
    <row r="287" spans="4:69" x14ac:dyDescent="0.25">
      <c r="D287"/>
      <c r="E287"/>
      <c r="F287"/>
      <c r="G287"/>
      <c r="J287"/>
      <c r="K287"/>
      <c r="L287"/>
      <c r="M287"/>
      <c r="O287"/>
      <c r="P287"/>
      <c r="Q287"/>
      <c r="R287"/>
      <c r="S287"/>
      <c r="T287"/>
      <c r="U287"/>
      <c r="V287"/>
      <c r="Y287"/>
      <c r="Z287"/>
      <c r="AA287"/>
      <c r="AB287"/>
      <c r="AF287"/>
      <c r="AG287"/>
      <c r="AH287"/>
      <c r="AI287"/>
      <c r="AJ287"/>
      <c r="AK287"/>
      <c r="AN287"/>
      <c r="AO287"/>
      <c r="AP287"/>
      <c r="AQ287"/>
      <c r="AR287"/>
      <c r="AS287"/>
      <c r="AV287"/>
      <c r="AW287"/>
      <c r="AX287"/>
      <c r="AY287"/>
      <c r="AZ287"/>
      <c r="BA287"/>
      <c r="BL287"/>
      <c r="BM287"/>
      <c r="BN287"/>
      <c r="BO287"/>
      <c r="BP287"/>
      <c r="BQ287"/>
    </row>
    <row r="288" spans="4:69" x14ac:dyDescent="0.25">
      <c r="D288"/>
      <c r="E288"/>
      <c r="F288"/>
      <c r="G288"/>
      <c r="J288"/>
      <c r="K288"/>
      <c r="L288"/>
      <c r="M288"/>
      <c r="O288"/>
      <c r="P288"/>
      <c r="Q288"/>
      <c r="R288"/>
      <c r="S288"/>
      <c r="T288"/>
      <c r="U288"/>
      <c r="V288"/>
      <c r="Y288"/>
      <c r="Z288"/>
      <c r="AA288"/>
      <c r="AB288"/>
      <c r="AF288"/>
      <c r="AG288"/>
      <c r="AH288"/>
      <c r="AI288"/>
      <c r="AJ288"/>
      <c r="AK288"/>
      <c r="AN288"/>
      <c r="AO288"/>
      <c r="AP288"/>
      <c r="AQ288"/>
      <c r="AR288"/>
      <c r="AS288"/>
      <c r="AV288"/>
      <c r="AW288"/>
      <c r="AX288"/>
      <c r="AY288"/>
      <c r="AZ288"/>
      <c r="BA288"/>
      <c r="BL288"/>
      <c r="BM288"/>
      <c r="BN288"/>
      <c r="BO288"/>
      <c r="BP288"/>
      <c r="BQ288"/>
    </row>
    <row r="289" spans="4:69" x14ac:dyDescent="0.25">
      <c r="D289"/>
      <c r="E289"/>
      <c r="F289"/>
      <c r="G289"/>
      <c r="J289"/>
      <c r="K289"/>
      <c r="L289"/>
      <c r="M289"/>
      <c r="O289"/>
      <c r="P289"/>
      <c r="Q289"/>
      <c r="R289"/>
      <c r="S289"/>
      <c r="T289"/>
      <c r="U289"/>
      <c r="V289"/>
      <c r="Y289"/>
      <c r="Z289"/>
      <c r="AA289"/>
      <c r="AB289"/>
      <c r="AF289"/>
      <c r="AG289"/>
      <c r="AH289"/>
      <c r="AI289"/>
      <c r="AJ289"/>
      <c r="AK289"/>
      <c r="AN289"/>
      <c r="AO289"/>
      <c r="AP289"/>
      <c r="AQ289"/>
      <c r="AR289"/>
      <c r="AS289"/>
      <c r="AV289"/>
      <c r="AW289"/>
      <c r="AX289"/>
      <c r="AY289"/>
      <c r="AZ289"/>
      <c r="BA289"/>
      <c r="BL289"/>
      <c r="BM289"/>
      <c r="BN289"/>
      <c r="BO289"/>
      <c r="BP289"/>
      <c r="BQ289"/>
    </row>
    <row r="290" spans="4:69" x14ac:dyDescent="0.25">
      <c r="D290"/>
      <c r="E290"/>
      <c r="F290"/>
      <c r="G290"/>
      <c r="J290"/>
      <c r="K290"/>
      <c r="L290"/>
      <c r="M290"/>
      <c r="O290"/>
      <c r="P290"/>
      <c r="Q290"/>
      <c r="R290"/>
      <c r="S290"/>
      <c r="T290"/>
      <c r="U290"/>
      <c r="V290"/>
      <c r="Y290"/>
      <c r="Z290"/>
      <c r="AA290"/>
      <c r="AB290"/>
      <c r="AF290"/>
      <c r="AG290"/>
      <c r="AH290"/>
      <c r="AI290"/>
      <c r="AJ290"/>
      <c r="AK290"/>
      <c r="AN290"/>
      <c r="AO290"/>
      <c r="AP290"/>
      <c r="AQ290"/>
      <c r="AR290"/>
      <c r="AS290"/>
      <c r="AV290"/>
      <c r="AW290"/>
      <c r="AX290"/>
      <c r="AY290"/>
      <c r="AZ290"/>
      <c r="BA290"/>
      <c r="BL290"/>
      <c r="BM290"/>
      <c r="BN290"/>
      <c r="BO290"/>
      <c r="BP290"/>
      <c r="BQ290"/>
    </row>
    <row r="291" spans="4:69" x14ac:dyDescent="0.25">
      <c r="D291"/>
      <c r="E291"/>
      <c r="F291"/>
      <c r="G291"/>
      <c r="J291"/>
      <c r="K291"/>
      <c r="L291"/>
      <c r="M291"/>
      <c r="O291"/>
      <c r="P291"/>
      <c r="Q291"/>
      <c r="R291"/>
      <c r="S291"/>
      <c r="T291"/>
      <c r="U291"/>
      <c r="V291"/>
      <c r="Y291"/>
      <c r="Z291"/>
      <c r="AA291"/>
      <c r="AB291"/>
      <c r="AF291"/>
      <c r="AG291"/>
      <c r="AH291"/>
      <c r="AI291"/>
      <c r="AJ291"/>
      <c r="AK291"/>
      <c r="AN291"/>
      <c r="AO291"/>
      <c r="AP291"/>
      <c r="AQ291"/>
      <c r="AR291"/>
      <c r="AS291"/>
      <c r="AV291"/>
      <c r="AW291"/>
      <c r="AX291"/>
      <c r="AY291"/>
      <c r="AZ291"/>
      <c r="BA291"/>
      <c r="BL291"/>
      <c r="BM291"/>
      <c r="BN291"/>
      <c r="BO291"/>
      <c r="BP291"/>
      <c r="BQ291"/>
    </row>
    <row r="292" spans="4:69" x14ac:dyDescent="0.25">
      <c r="D292"/>
      <c r="E292"/>
      <c r="F292"/>
      <c r="G292"/>
      <c r="J292"/>
      <c r="K292"/>
      <c r="L292"/>
      <c r="M292"/>
      <c r="O292"/>
      <c r="P292"/>
      <c r="Q292"/>
      <c r="R292"/>
      <c r="S292"/>
      <c r="T292"/>
      <c r="U292"/>
      <c r="V292"/>
      <c r="Y292"/>
      <c r="Z292"/>
      <c r="AA292"/>
      <c r="AB292"/>
      <c r="AF292"/>
      <c r="AG292"/>
      <c r="AH292"/>
      <c r="AI292"/>
      <c r="AJ292"/>
      <c r="AK292"/>
      <c r="AN292"/>
      <c r="AO292"/>
      <c r="AP292"/>
      <c r="AQ292"/>
      <c r="AR292"/>
      <c r="AS292"/>
      <c r="AV292"/>
      <c r="AW292"/>
      <c r="AX292"/>
      <c r="AY292"/>
      <c r="AZ292"/>
      <c r="BA292"/>
      <c r="BL292"/>
      <c r="BM292"/>
      <c r="BN292"/>
      <c r="BO292"/>
      <c r="BP292"/>
      <c r="BQ292"/>
    </row>
    <row r="293" spans="4:69" x14ac:dyDescent="0.25">
      <c r="D293"/>
      <c r="E293"/>
      <c r="F293"/>
      <c r="G293"/>
      <c r="J293"/>
      <c r="K293"/>
      <c r="L293"/>
      <c r="M293"/>
      <c r="O293"/>
      <c r="P293"/>
      <c r="Q293"/>
      <c r="R293"/>
      <c r="S293"/>
      <c r="T293"/>
      <c r="U293"/>
      <c r="V293"/>
      <c r="Y293"/>
      <c r="Z293"/>
      <c r="AA293"/>
      <c r="AB293"/>
      <c r="AF293"/>
      <c r="AG293"/>
      <c r="AH293"/>
      <c r="AI293"/>
      <c r="AJ293"/>
      <c r="AK293"/>
      <c r="AN293"/>
      <c r="AO293"/>
      <c r="AP293"/>
      <c r="AQ293"/>
      <c r="AR293"/>
      <c r="AS293"/>
      <c r="AV293"/>
      <c r="AW293"/>
      <c r="AX293"/>
      <c r="AY293"/>
      <c r="AZ293"/>
      <c r="BA293"/>
      <c r="BL293"/>
      <c r="BM293"/>
      <c r="BN293"/>
      <c r="BO293"/>
      <c r="BP293"/>
      <c r="BQ293"/>
    </row>
    <row r="294" spans="4:69" x14ac:dyDescent="0.25">
      <c r="D294"/>
      <c r="E294"/>
      <c r="F294"/>
      <c r="G294"/>
      <c r="J294"/>
      <c r="K294"/>
      <c r="L294"/>
      <c r="M294"/>
      <c r="O294"/>
      <c r="P294"/>
      <c r="Q294"/>
      <c r="R294"/>
      <c r="S294"/>
      <c r="T294"/>
      <c r="U294"/>
      <c r="V294"/>
      <c r="Y294"/>
      <c r="Z294"/>
      <c r="AA294"/>
      <c r="AB294"/>
      <c r="AF294"/>
      <c r="AG294"/>
      <c r="AH294"/>
      <c r="AI294"/>
      <c r="AJ294"/>
      <c r="AK294"/>
      <c r="AN294"/>
      <c r="AO294"/>
      <c r="AP294"/>
      <c r="AQ294"/>
      <c r="AR294"/>
      <c r="AS294"/>
      <c r="AV294"/>
      <c r="AW294"/>
      <c r="AX294"/>
      <c r="AY294"/>
      <c r="AZ294"/>
      <c r="BA294"/>
      <c r="BL294"/>
      <c r="BM294"/>
      <c r="BN294"/>
      <c r="BO294"/>
      <c r="BP294"/>
      <c r="BQ294"/>
    </row>
    <row r="295" spans="4:69" x14ac:dyDescent="0.25">
      <c r="D295"/>
      <c r="E295"/>
      <c r="F295"/>
      <c r="G295"/>
      <c r="J295"/>
      <c r="K295"/>
      <c r="L295"/>
      <c r="M295"/>
      <c r="O295"/>
      <c r="P295"/>
      <c r="Q295"/>
      <c r="R295"/>
      <c r="S295"/>
      <c r="T295"/>
      <c r="U295"/>
      <c r="V295"/>
      <c r="Y295"/>
      <c r="Z295"/>
      <c r="AA295"/>
      <c r="AB295"/>
      <c r="AF295"/>
      <c r="AG295"/>
      <c r="AH295"/>
      <c r="AI295"/>
      <c r="AJ295"/>
      <c r="AK295"/>
      <c r="AN295"/>
      <c r="AO295"/>
      <c r="AP295"/>
      <c r="AQ295"/>
      <c r="AR295"/>
      <c r="AS295"/>
      <c r="AV295"/>
      <c r="AW295"/>
      <c r="AX295"/>
      <c r="AY295"/>
      <c r="AZ295"/>
      <c r="BA295"/>
      <c r="BL295"/>
      <c r="BM295"/>
      <c r="BN295"/>
      <c r="BO295"/>
      <c r="BP295"/>
      <c r="BQ295"/>
    </row>
    <row r="296" spans="4:69" x14ac:dyDescent="0.25">
      <c r="D296"/>
      <c r="E296"/>
      <c r="F296"/>
      <c r="G296"/>
      <c r="J296"/>
      <c r="K296"/>
      <c r="L296"/>
      <c r="M296"/>
      <c r="O296"/>
      <c r="P296"/>
      <c r="Q296"/>
      <c r="R296"/>
      <c r="S296"/>
      <c r="T296"/>
      <c r="U296"/>
      <c r="V296"/>
      <c r="Y296"/>
      <c r="Z296"/>
      <c r="AA296"/>
      <c r="AB296"/>
      <c r="AF296"/>
      <c r="AG296"/>
      <c r="AH296"/>
      <c r="AI296"/>
      <c r="AJ296"/>
      <c r="AK296"/>
      <c r="AN296"/>
      <c r="AO296"/>
      <c r="AP296"/>
      <c r="AQ296"/>
      <c r="AR296"/>
      <c r="AS296"/>
      <c r="AV296"/>
      <c r="AW296"/>
      <c r="AX296"/>
      <c r="AY296"/>
      <c r="AZ296"/>
      <c r="BA296"/>
      <c r="BL296"/>
      <c r="BM296"/>
      <c r="BN296"/>
      <c r="BO296"/>
      <c r="BP296"/>
      <c r="BQ296"/>
    </row>
    <row r="297" spans="4:69" x14ac:dyDescent="0.25">
      <c r="D297"/>
      <c r="E297"/>
      <c r="F297"/>
      <c r="G297"/>
      <c r="J297"/>
      <c r="K297"/>
      <c r="L297"/>
      <c r="M297"/>
      <c r="O297"/>
      <c r="P297"/>
      <c r="Q297"/>
      <c r="R297"/>
      <c r="S297"/>
      <c r="T297"/>
      <c r="U297"/>
      <c r="V297"/>
      <c r="Y297"/>
      <c r="Z297"/>
      <c r="AA297"/>
      <c r="AB297"/>
      <c r="AF297"/>
      <c r="AG297"/>
      <c r="AH297"/>
      <c r="AI297"/>
      <c r="AJ297"/>
      <c r="AK297"/>
      <c r="AN297"/>
      <c r="AO297"/>
      <c r="AP297"/>
      <c r="AQ297"/>
      <c r="AR297"/>
      <c r="AS297"/>
      <c r="AV297"/>
      <c r="AW297"/>
      <c r="AX297"/>
      <c r="AY297"/>
      <c r="AZ297"/>
      <c r="BA297"/>
      <c r="BL297"/>
      <c r="BM297"/>
      <c r="BN297"/>
      <c r="BO297"/>
      <c r="BP297"/>
      <c r="BQ297"/>
    </row>
    <row r="298" spans="4:69" x14ac:dyDescent="0.25">
      <c r="D298"/>
      <c r="E298"/>
      <c r="F298"/>
      <c r="G298"/>
      <c r="J298"/>
      <c r="K298"/>
      <c r="L298"/>
      <c r="M298"/>
      <c r="O298"/>
      <c r="P298"/>
      <c r="Q298"/>
      <c r="R298"/>
      <c r="S298"/>
      <c r="T298"/>
      <c r="U298"/>
      <c r="V298"/>
      <c r="Y298"/>
      <c r="Z298"/>
      <c r="AA298"/>
      <c r="AB298"/>
      <c r="AF298"/>
      <c r="AG298"/>
      <c r="AH298"/>
      <c r="AI298"/>
      <c r="AJ298"/>
      <c r="AK298"/>
      <c r="AN298"/>
      <c r="AO298"/>
      <c r="AP298"/>
      <c r="AQ298"/>
      <c r="AR298"/>
      <c r="AS298"/>
      <c r="AV298"/>
      <c r="AW298"/>
      <c r="AX298"/>
      <c r="AY298"/>
      <c r="AZ298"/>
      <c r="BA298"/>
      <c r="BL298"/>
      <c r="BM298"/>
      <c r="BN298"/>
      <c r="BO298"/>
      <c r="BP298"/>
      <c r="BQ298"/>
    </row>
    <row r="299" spans="4:69" x14ac:dyDescent="0.25">
      <c r="D299"/>
      <c r="E299"/>
      <c r="F299"/>
      <c r="G299"/>
      <c r="J299"/>
      <c r="K299"/>
      <c r="L299"/>
      <c r="M299"/>
      <c r="O299"/>
      <c r="P299"/>
      <c r="Q299"/>
      <c r="R299"/>
      <c r="S299"/>
      <c r="T299"/>
      <c r="U299"/>
      <c r="V299"/>
      <c r="Y299"/>
      <c r="Z299"/>
      <c r="AA299"/>
      <c r="AB299"/>
      <c r="AF299"/>
      <c r="AG299"/>
      <c r="AH299"/>
      <c r="AI299"/>
      <c r="AJ299"/>
      <c r="AK299"/>
      <c r="AN299"/>
      <c r="AO299"/>
      <c r="AP299"/>
      <c r="AQ299"/>
      <c r="AR299"/>
      <c r="AS299"/>
      <c r="AV299"/>
      <c r="AW299"/>
      <c r="AX299"/>
      <c r="AY299"/>
      <c r="AZ299"/>
      <c r="BA299"/>
      <c r="BL299"/>
      <c r="BM299"/>
      <c r="BN299"/>
      <c r="BO299"/>
      <c r="BP299"/>
      <c r="BQ299"/>
    </row>
    <row r="300" spans="4:69" x14ac:dyDescent="0.25">
      <c r="D300"/>
      <c r="E300"/>
      <c r="F300"/>
      <c r="G300"/>
      <c r="J300"/>
      <c r="K300"/>
      <c r="L300"/>
      <c r="M300"/>
      <c r="O300"/>
      <c r="P300"/>
      <c r="Q300"/>
      <c r="R300"/>
      <c r="S300"/>
      <c r="T300"/>
      <c r="U300"/>
      <c r="V300"/>
      <c r="Y300"/>
      <c r="Z300"/>
      <c r="AA300"/>
      <c r="AB300"/>
      <c r="AF300"/>
      <c r="AG300"/>
      <c r="AH300"/>
      <c r="AI300"/>
      <c r="AJ300"/>
      <c r="AK300"/>
      <c r="AN300"/>
      <c r="AO300"/>
      <c r="AP300"/>
      <c r="AQ300"/>
      <c r="AR300"/>
      <c r="AS300"/>
      <c r="AV300"/>
      <c r="AW300"/>
      <c r="AX300"/>
      <c r="AY300"/>
      <c r="AZ300"/>
      <c r="BA300"/>
      <c r="BL300"/>
      <c r="BM300"/>
      <c r="BN300"/>
      <c r="BO300"/>
      <c r="BP300"/>
      <c r="BQ300"/>
    </row>
    <row r="301" spans="4:69" x14ac:dyDescent="0.25">
      <c r="D301"/>
      <c r="E301"/>
      <c r="F301"/>
      <c r="G301"/>
      <c r="J301"/>
      <c r="K301"/>
      <c r="L301"/>
      <c r="M301"/>
      <c r="O301"/>
      <c r="P301"/>
      <c r="Q301"/>
      <c r="R301"/>
      <c r="S301"/>
      <c r="T301"/>
      <c r="U301"/>
      <c r="V301"/>
      <c r="Y301"/>
      <c r="Z301"/>
      <c r="AA301"/>
      <c r="AB301"/>
      <c r="AF301"/>
      <c r="AG301"/>
      <c r="AH301"/>
      <c r="AI301"/>
      <c r="AJ301"/>
      <c r="AK301"/>
      <c r="AN301"/>
      <c r="AO301"/>
      <c r="AP301"/>
      <c r="AQ301"/>
      <c r="AR301"/>
      <c r="AS301"/>
      <c r="AV301"/>
      <c r="AW301"/>
      <c r="AX301"/>
      <c r="AY301"/>
      <c r="AZ301"/>
      <c r="BA301"/>
      <c r="BL301"/>
      <c r="BM301"/>
      <c r="BN301"/>
      <c r="BO301"/>
      <c r="BP301"/>
      <c r="BQ301"/>
    </row>
    <row r="302" spans="4:69" x14ac:dyDescent="0.25">
      <c r="D302"/>
      <c r="E302"/>
      <c r="F302"/>
      <c r="G302"/>
      <c r="J302"/>
      <c r="K302"/>
      <c r="L302"/>
      <c r="M302"/>
      <c r="O302"/>
      <c r="P302"/>
      <c r="Q302"/>
      <c r="R302"/>
      <c r="S302"/>
      <c r="T302"/>
      <c r="U302"/>
      <c r="V302"/>
      <c r="Y302"/>
      <c r="Z302"/>
      <c r="AA302"/>
      <c r="AB302"/>
      <c r="AF302"/>
      <c r="AG302"/>
      <c r="AH302"/>
      <c r="AI302"/>
      <c r="AJ302"/>
      <c r="AK302"/>
      <c r="AN302"/>
      <c r="AO302"/>
      <c r="AP302"/>
      <c r="AQ302"/>
      <c r="AR302"/>
      <c r="AS302"/>
      <c r="AV302"/>
      <c r="AW302"/>
      <c r="AX302"/>
      <c r="AY302"/>
      <c r="AZ302"/>
      <c r="BA302"/>
      <c r="BL302"/>
      <c r="BM302"/>
      <c r="BN302"/>
      <c r="BO302"/>
      <c r="BP302"/>
      <c r="BQ302"/>
    </row>
    <row r="303" spans="4:69" x14ac:dyDescent="0.25">
      <c r="D303"/>
      <c r="E303"/>
      <c r="F303"/>
      <c r="G303"/>
      <c r="J303"/>
      <c r="K303"/>
      <c r="L303"/>
      <c r="M303"/>
      <c r="O303"/>
      <c r="P303"/>
      <c r="Q303"/>
      <c r="R303"/>
      <c r="S303"/>
      <c r="T303"/>
      <c r="U303"/>
      <c r="V303"/>
      <c r="Y303"/>
      <c r="Z303"/>
      <c r="AA303"/>
      <c r="AB303"/>
      <c r="AF303"/>
      <c r="AG303"/>
      <c r="AH303"/>
      <c r="AI303"/>
      <c r="AJ303"/>
      <c r="AK303"/>
      <c r="AN303"/>
      <c r="AO303"/>
      <c r="AP303"/>
      <c r="AQ303"/>
      <c r="AR303"/>
      <c r="AS303"/>
      <c r="AV303"/>
      <c r="AW303"/>
      <c r="AX303"/>
      <c r="AY303"/>
      <c r="AZ303"/>
      <c r="BA303"/>
      <c r="BL303"/>
      <c r="BM303"/>
      <c r="BN303"/>
      <c r="BO303"/>
      <c r="BP303"/>
      <c r="BQ303"/>
    </row>
    <row r="304" spans="4:69" x14ac:dyDescent="0.25">
      <c r="D304"/>
      <c r="E304"/>
      <c r="F304"/>
      <c r="G304"/>
      <c r="J304"/>
      <c r="K304"/>
      <c r="L304"/>
      <c r="M304"/>
      <c r="O304"/>
      <c r="P304"/>
      <c r="Q304"/>
      <c r="R304"/>
      <c r="S304"/>
      <c r="T304"/>
      <c r="U304"/>
      <c r="V304"/>
      <c r="Y304"/>
      <c r="Z304"/>
      <c r="AA304"/>
      <c r="AB304"/>
      <c r="AF304"/>
      <c r="AG304"/>
      <c r="AH304"/>
      <c r="AI304"/>
      <c r="AJ304"/>
      <c r="AK304"/>
      <c r="AN304"/>
      <c r="AO304"/>
      <c r="AP304"/>
      <c r="AQ304"/>
      <c r="AR304"/>
      <c r="AS304"/>
      <c r="AV304"/>
      <c r="AW304"/>
      <c r="AX304"/>
      <c r="AY304"/>
      <c r="AZ304"/>
      <c r="BA304"/>
      <c r="BL304"/>
      <c r="BM304"/>
      <c r="BN304"/>
      <c r="BO304"/>
      <c r="BP304"/>
      <c r="BQ304"/>
    </row>
    <row r="305" spans="4:69" x14ac:dyDescent="0.25">
      <c r="D305"/>
      <c r="E305"/>
      <c r="F305"/>
      <c r="G305"/>
      <c r="J305"/>
      <c r="K305"/>
      <c r="L305"/>
      <c r="M305"/>
      <c r="O305"/>
      <c r="P305"/>
      <c r="Q305"/>
      <c r="R305"/>
      <c r="S305"/>
      <c r="T305"/>
      <c r="U305"/>
      <c r="V305"/>
      <c r="Y305"/>
      <c r="Z305"/>
      <c r="AA305"/>
      <c r="AB305"/>
      <c r="AF305"/>
      <c r="AG305"/>
      <c r="AH305"/>
      <c r="AI305"/>
      <c r="AJ305"/>
      <c r="AK305"/>
      <c r="AN305"/>
      <c r="AO305"/>
      <c r="AP305"/>
      <c r="AQ305"/>
      <c r="AR305"/>
      <c r="AS305"/>
      <c r="AV305"/>
      <c r="AW305"/>
      <c r="AX305"/>
      <c r="AY305"/>
      <c r="AZ305"/>
      <c r="BA305"/>
      <c r="BL305"/>
      <c r="BM305"/>
      <c r="BN305"/>
      <c r="BO305"/>
      <c r="BP305"/>
      <c r="BQ305"/>
    </row>
    <row r="306" spans="4:69" x14ac:dyDescent="0.25">
      <c r="D306"/>
      <c r="E306"/>
      <c r="F306"/>
      <c r="G306"/>
      <c r="J306"/>
      <c r="K306"/>
      <c r="L306"/>
      <c r="M306"/>
      <c r="O306"/>
      <c r="P306"/>
      <c r="Q306"/>
      <c r="R306"/>
      <c r="S306"/>
      <c r="T306"/>
      <c r="U306"/>
      <c r="V306"/>
      <c r="Y306"/>
      <c r="Z306"/>
      <c r="AA306"/>
      <c r="AB306"/>
      <c r="AF306"/>
      <c r="AG306"/>
      <c r="AH306"/>
      <c r="AI306"/>
      <c r="AJ306"/>
      <c r="AK306"/>
      <c r="AN306"/>
      <c r="AO306"/>
      <c r="AP306"/>
      <c r="AQ306"/>
      <c r="AR306"/>
      <c r="AS306"/>
      <c r="AV306"/>
      <c r="AW306"/>
      <c r="AX306"/>
      <c r="AY306"/>
      <c r="AZ306"/>
      <c r="BA306"/>
      <c r="BL306"/>
      <c r="BM306"/>
      <c r="BN306"/>
      <c r="BO306"/>
      <c r="BP306"/>
      <c r="BQ306"/>
    </row>
    <row r="307" spans="4:69" x14ac:dyDescent="0.25">
      <c r="D307"/>
      <c r="E307"/>
      <c r="F307"/>
      <c r="G307"/>
      <c r="J307"/>
      <c r="K307"/>
      <c r="L307"/>
      <c r="M307"/>
      <c r="O307"/>
      <c r="P307"/>
      <c r="Q307"/>
      <c r="R307"/>
      <c r="S307"/>
      <c r="T307"/>
      <c r="U307"/>
      <c r="V307"/>
      <c r="Y307"/>
      <c r="Z307"/>
      <c r="AA307"/>
      <c r="AB307"/>
      <c r="AF307"/>
      <c r="AG307"/>
      <c r="AH307"/>
      <c r="AI307"/>
      <c r="AJ307"/>
      <c r="AK307"/>
      <c r="AN307"/>
      <c r="AO307"/>
      <c r="AP307"/>
      <c r="AQ307"/>
      <c r="AR307"/>
      <c r="AS307"/>
      <c r="AV307"/>
      <c r="AW307"/>
      <c r="AX307"/>
      <c r="AY307"/>
      <c r="AZ307"/>
      <c r="BA307"/>
      <c r="BL307"/>
      <c r="BM307"/>
      <c r="BN307"/>
      <c r="BO307"/>
      <c r="BP307"/>
      <c r="BQ307"/>
    </row>
    <row r="308" spans="4:69" x14ac:dyDescent="0.25">
      <c r="D308"/>
      <c r="E308"/>
      <c r="F308"/>
      <c r="G308"/>
      <c r="J308"/>
      <c r="K308"/>
      <c r="L308"/>
      <c r="M308"/>
      <c r="O308"/>
      <c r="P308"/>
      <c r="Q308"/>
      <c r="R308"/>
      <c r="S308"/>
      <c r="T308"/>
      <c r="U308"/>
      <c r="V308"/>
      <c r="Y308"/>
      <c r="Z308"/>
      <c r="AA308"/>
      <c r="AB308"/>
      <c r="AF308"/>
      <c r="AG308"/>
      <c r="AH308"/>
      <c r="AI308"/>
      <c r="AJ308"/>
      <c r="AK308"/>
      <c r="AN308"/>
      <c r="AO308"/>
      <c r="AP308"/>
      <c r="AQ308"/>
      <c r="AR308"/>
      <c r="AS308"/>
      <c r="AV308"/>
      <c r="AW308"/>
      <c r="AX308"/>
      <c r="AY308"/>
      <c r="AZ308"/>
      <c r="BA308"/>
      <c r="BL308"/>
      <c r="BM308"/>
      <c r="BN308"/>
      <c r="BO308"/>
      <c r="BP308"/>
      <c r="BQ308"/>
    </row>
    <row r="309" spans="4:69" x14ac:dyDescent="0.25">
      <c r="D309"/>
      <c r="E309"/>
      <c r="F309"/>
      <c r="G309"/>
      <c r="J309"/>
      <c r="K309"/>
      <c r="L309"/>
      <c r="M309"/>
      <c r="O309"/>
      <c r="P309"/>
      <c r="Q309"/>
      <c r="R309"/>
      <c r="S309"/>
      <c r="T309"/>
      <c r="U309"/>
      <c r="V309"/>
      <c r="Y309"/>
      <c r="Z309"/>
      <c r="AA309"/>
      <c r="AB309"/>
      <c r="AF309"/>
      <c r="AG309"/>
      <c r="AH309"/>
      <c r="AI309"/>
      <c r="AJ309"/>
      <c r="AK309"/>
      <c r="AN309"/>
      <c r="AO309"/>
      <c r="AP309"/>
      <c r="AQ309"/>
      <c r="AR309"/>
      <c r="AS309"/>
      <c r="AV309"/>
      <c r="AW309"/>
      <c r="AX309"/>
      <c r="AY309"/>
      <c r="AZ309"/>
      <c r="BA309"/>
      <c r="BL309"/>
      <c r="BM309"/>
      <c r="BN309"/>
      <c r="BO309"/>
      <c r="BP309"/>
      <c r="BQ309"/>
    </row>
    <row r="310" spans="4:69" x14ac:dyDescent="0.25">
      <c r="D310"/>
      <c r="E310"/>
      <c r="F310"/>
      <c r="G310"/>
      <c r="J310"/>
      <c r="K310"/>
      <c r="L310"/>
      <c r="M310"/>
      <c r="O310"/>
      <c r="P310"/>
      <c r="Q310"/>
      <c r="R310"/>
      <c r="S310"/>
      <c r="T310"/>
      <c r="U310"/>
      <c r="V310"/>
      <c r="Y310"/>
      <c r="Z310"/>
      <c r="AA310"/>
      <c r="AB310"/>
      <c r="AF310"/>
      <c r="AG310"/>
      <c r="AH310"/>
      <c r="AI310"/>
      <c r="AJ310"/>
      <c r="AK310"/>
      <c r="AN310"/>
      <c r="AO310"/>
      <c r="AP310"/>
      <c r="AQ310"/>
      <c r="AR310"/>
      <c r="AS310"/>
      <c r="AV310"/>
      <c r="AW310"/>
      <c r="AX310"/>
      <c r="AY310"/>
      <c r="AZ310"/>
      <c r="BA310"/>
      <c r="BL310"/>
      <c r="BM310"/>
      <c r="BN310"/>
      <c r="BO310"/>
      <c r="BP310"/>
      <c r="BQ310"/>
    </row>
    <row r="311" spans="4:69" x14ac:dyDescent="0.25">
      <c r="D311"/>
      <c r="E311"/>
      <c r="F311"/>
      <c r="G311"/>
      <c r="J311"/>
      <c r="K311"/>
      <c r="L311"/>
      <c r="M311"/>
      <c r="O311"/>
      <c r="P311"/>
      <c r="Q311"/>
      <c r="R311"/>
      <c r="S311"/>
      <c r="T311"/>
      <c r="U311"/>
      <c r="V311"/>
      <c r="Y311"/>
      <c r="Z311"/>
      <c r="AA311"/>
      <c r="AB311"/>
      <c r="AF311"/>
      <c r="AG311"/>
      <c r="AH311"/>
      <c r="AI311"/>
      <c r="AJ311"/>
      <c r="AK311"/>
      <c r="AN311"/>
      <c r="AO311"/>
      <c r="AP311"/>
      <c r="AQ311"/>
      <c r="AR311"/>
      <c r="AS311"/>
      <c r="AV311"/>
      <c r="AW311"/>
      <c r="AX311"/>
      <c r="AY311"/>
      <c r="AZ311"/>
      <c r="BA311"/>
      <c r="BL311"/>
      <c r="BM311"/>
      <c r="BN311"/>
      <c r="BO311"/>
      <c r="BP311"/>
      <c r="BQ311"/>
    </row>
    <row r="312" spans="4:69" x14ac:dyDescent="0.25">
      <c r="D312"/>
      <c r="E312"/>
      <c r="F312"/>
      <c r="G312"/>
      <c r="J312"/>
      <c r="K312"/>
      <c r="L312"/>
      <c r="M312"/>
      <c r="O312"/>
      <c r="P312"/>
      <c r="Q312"/>
      <c r="R312"/>
      <c r="S312"/>
      <c r="T312"/>
      <c r="U312"/>
      <c r="V312"/>
      <c r="Y312"/>
      <c r="Z312"/>
      <c r="AA312"/>
      <c r="AB312"/>
      <c r="AF312"/>
      <c r="AG312"/>
      <c r="AH312"/>
      <c r="AI312"/>
      <c r="AJ312"/>
      <c r="AK312"/>
      <c r="AN312"/>
      <c r="AO312"/>
      <c r="AP312"/>
      <c r="AQ312"/>
      <c r="AR312"/>
      <c r="AS312"/>
      <c r="AV312"/>
      <c r="AW312"/>
      <c r="AX312"/>
      <c r="AY312"/>
      <c r="AZ312"/>
      <c r="BA312"/>
      <c r="BL312"/>
      <c r="BM312"/>
      <c r="BN312"/>
      <c r="BO312"/>
      <c r="BP312"/>
      <c r="BQ312"/>
    </row>
    <row r="313" spans="4:69" x14ac:dyDescent="0.25">
      <c r="D313"/>
      <c r="E313"/>
      <c r="F313"/>
      <c r="G313"/>
      <c r="J313"/>
      <c r="K313"/>
      <c r="L313"/>
      <c r="M313"/>
      <c r="O313"/>
      <c r="P313"/>
      <c r="Q313"/>
      <c r="R313"/>
      <c r="S313"/>
      <c r="T313"/>
      <c r="U313"/>
      <c r="V313"/>
      <c r="Y313"/>
      <c r="Z313"/>
      <c r="AA313"/>
      <c r="AB313"/>
      <c r="AF313"/>
      <c r="AG313"/>
      <c r="AH313"/>
      <c r="AI313"/>
      <c r="AJ313"/>
      <c r="AK313"/>
      <c r="AN313"/>
      <c r="AO313"/>
      <c r="AP313"/>
      <c r="AQ313"/>
      <c r="AR313"/>
      <c r="AS313"/>
      <c r="AV313"/>
      <c r="AW313"/>
      <c r="AX313"/>
      <c r="AY313"/>
      <c r="AZ313"/>
      <c r="BA313"/>
      <c r="BL313"/>
      <c r="BM313"/>
      <c r="BN313"/>
      <c r="BO313"/>
      <c r="BP313"/>
      <c r="BQ313"/>
    </row>
    <row r="314" spans="4:69" x14ac:dyDescent="0.25">
      <c r="D314"/>
      <c r="E314"/>
      <c r="F314"/>
      <c r="G314"/>
      <c r="J314"/>
      <c r="K314"/>
      <c r="L314"/>
      <c r="M314"/>
      <c r="O314"/>
      <c r="P314"/>
      <c r="Q314"/>
      <c r="R314"/>
      <c r="S314"/>
      <c r="T314"/>
      <c r="U314"/>
      <c r="V314"/>
      <c r="Y314"/>
      <c r="Z314"/>
      <c r="AA314"/>
      <c r="AB314"/>
      <c r="AF314"/>
      <c r="AG314"/>
      <c r="AH314"/>
      <c r="AI314"/>
      <c r="AJ314"/>
      <c r="AK314"/>
      <c r="AN314"/>
      <c r="AO314"/>
      <c r="AP314"/>
      <c r="AQ314"/>
      <c r="AR314"/>
      <c r="AS314"/>
      <c r="AV314"/>
      <c r="AW314"/>
      <c r="AX314"/>
      <c r="AY314"/>
      <c r="AZ314"/>
      <c r="BA314"/>
      <c r="BL314"/>
      <c r="BM314"/>
      <c r="BN314"/>
      <c r="BO314"/>
      <c r="BP314"/>
      <c r="BQ314"/>
    </row>
    <row r="315" spans="4:69" x14ac:dyDescent="0.25">
      <c r="D315"/>
      <c r="E315"/>
      <c r="F315"/>
      <c r="G315"/>
      <c r="J315"/>
      <c r="K315"/>
      <c r="L315"/>
      <c r="M315"/>
      <c r="O315"/>
      <c r="P315"/>
      <c r="Q315"/>
      <c r="R315"/>
      <c r="S315"/>
      <c r="T315"/>
      <c r="U315"/>
      <c r="V315"/>
      <c r="Y315"/>
      <c r="Z315"/>
      <c r="AA315"/>
      <c r="AB315"/>
      <c r="AF315"/>
      <c r="AG315"/>
      <c r="AH315"/>
      <c r="AI315"/>
      <c r="AJ315"/>
      <c r="AK315"/>
      <c r="AN315"/>
      <c r="AO315"/>
      <c r="AP315"/>
      <c r="AQ315"/>
      <c r="AR315"/>
      <c r="AS315"/>
      <c r="AV315"/>
      <c r="AW315"/>
      <c r="AX315"/>
      <c r="AY315"/>
      <c r="AZ315"/>
      <c r="BA315"/>
      <c r="BL315"/>
      <c r="BM315"/>
      <c r="BN315"/>
      <c r="BO315"/>
      <c r="BP315"/>
      <c r="BQ315"/>
    </row>
    <row r="316" spans="4:69" x14ac:dyDescent="0.25">
      <c r="D316"/>
      <c r="E316"/>
      <c r="F316"/>
      <c r="G316"/>
      <c r="J316"/>
      <c r="K316"/>
      <c r="L316"/>
      <c r="M316"/>
      <c r="O316"/>
      <c r="P316"/>
      <c r="Q316"/>
      <c r="R316"/>
      <c r="S316"/>
      <c r="T316"/>
      <c r="U316"/>
      <c r="V316"/>
      <c r="Y316"/>
      <c r="Z316"/>
      <c r="AA316"/>
      <c r="AB316"/>
      <c r="AF316"/>
      <c r="AG316"/>
      <c r="AH316"/>
      <c r="AI316"/>
      <c r="AJ316"/>
      <c r="AK316"/>
      <c r="AN316"/>
      <c r="AO316"/>
      <c r="AP316"/>
      <c r="AQ316"/>
      <c r="AR316"/>
      <c r="AS316"/>
      <c r="AV316"/>
      <c r="AW316"/>
      <c r="AX316"/>
      <c r="AY316"/>
      <c r="AZ316"/>
      <c r="BA316"/>
      <c r="BL316"/>
      <c r="BM316"/>
      <c r="BN316"/>
      <c r="BO316"/>
      <c r="BP316"/>
      <c r="BQ316"/>
    </row>
    <row r="317" spans="4:69" x14ac:dyDescent="0.25">
      <c r="D317"/>
      <c r="E317"/>
      <c r="F317"/>
      <c r="G317"/>
      <c r="J317"/>
      <c r="K317"/>
      <c r="L317"/>
      <c r="M317"/>
      <c r="O317"/>
      <c r="P317"/>
      <c r="Q317"/>
      <c r="R317"/>
      <c r="S317"/>
      <c r="T317"/>
      <c r="U317"/>
      <c r="V317"/>
      <c r="Y317"/>
      <c r="Z317"/>
      <c r="AA317"/>
      <c r="AB317"/>
      <c r="AF317"/>
      <c r="AG317"/>
      <c r="AH317"/>
      <c r="AI317"/>
      <c r="AJ317"/>
      <c r="AK317"/>
      <c r="AN317"/>
      <c r="AO317"/>
      <c r="AP317"/>
      <c r="AQ317"/>
      <c r="AR317"/>
      <c r="AS317"/>
      <c r="AV317"/>
      <c r="AW317"/>
      <c r="AX317"/>
      <c r="AY317"/>
      <c r="AZ317"/>
      <c r="BA317"/>
      <c r="BL317"/>
      <c r="BM317"/>
      <c r="BN317"/>
      <c r="BO317"/>
      <c r="BP317"/>
      <c r="BQ317"/>
    </row>
    <row r="318" spans="4:69" x14ac:dyDescent="0.25">
      <c r="D318"/>
      <c r="E318"/>
      <c r="F318"/>
      <c r="G318"/>
      <c r="J318"/>
      <c r="K318"/>
      <c r="L318"/>
      <c r="M318"/>
      <c r="O318"/>
      <c r="P318"/>
      <c r="Q318"/>
      <c r="R318"/>
      <c r="S318"/>
      <c r="T318"/>
      <c r="U318"/>
      <c r="V318"/>
      <c r="Y318"/>
      <c r="Z318"/>
      <c r="AA318"/>
      <c r="AB318"/>
      <c r="AF318"/>
      <c r="AG318"/>
      <c r="AH318"/>
      <c r="AI318"/>
      <c r="AJ318"/>
      <c r="AK318"/>
      <c r="AN318"/>
      <c r="AO318"/>
      <c r="AP318"/>
      <c r="AQ318"/>
      <c r="AR318"/>
      <c r="AS318"/>
      <c r="AV318"/>
      <c r="AW318"/>
      <c r="AX318"/>
      <c r="AY318"/>
      <c r="AZ318"/>
      <c r="BA318"/>
      <c r="BL318"/>
      <c r="BM318"/>
      <c r="BN318"/>
      <c r="BO318"/>
      <c r="BP318"/>
      <c r="BQ318"/>
    </row>
    <row r="319" spans="4:69" x14ac:dyDescent="0.25">
      <c r="D319"/>
      <c r="E319"/>
      <c r="F319"/>
      <c r="G319"/>
      <c r="J319"/>
      <c r="K319"/>
      <c r="L319"/>
      <c r="M319"/>
      <c r="O319"/>
      <c r="P319"/>
      <c r="Q319"/>
      <c r="R319"/>
      <c r="S319"/>
      <c r="T319"/>
      <c r="U319"/>
      <c r="V319"/>
      <c r="Y319"/>
      <c r="Z319"/>
      <c r="AA319"/>
      <c r="AB319"/>
      <c r="AF319"/>
      <c r="AG319"/>
      <c r="AH319"/>
      <c r="AI319"/>
      <c r="AJ319"/>
      <c r="AK319"/>
      <c r="AN319"/>
      <c r="AO319"/>
      <c r="AP319"/>
      <c r="AQ319"/>
      <c r="AR319"/>
      <c r="AS319"/>
      <c r="AV319"/>
      <c r="AW319"/>
      <c r="AX319"/>
      <c r="AY319"/>
      <c r="AZ319"/>
      <c r="BA319"/>
      <c r="BL319"/>
      <c r="BM319"/>
      <c r="BN319"/>
      <c r="BO319"/>
      <c r="BP319"/>
      <c r="BQ319"/>
    </row>
    <row r="320" spans="4:69" x14ac:dyDescent="0.25">
      <c r="D320"/>
      <c r="E320"/>
      <c r="F320"/>
      <c r="G320"/>
      <c r="J320"/>
      <c r="K320"/>
      <c r="L320"/>
      <c r="M320"/>
      <c r="O320"/>
      <c r="P320"/>
      <c r="Q320"/>
      <c r="R320"/>
      <c r="S320"/>
      <c r="T320"/>
      <c r="U320"/>
      <c r="V320"/>
      <c r="Y320"/>
      <c r="Z320"/>
      <c r="AA320"/>
      <c r="AB320"/>
      <c r="AF320"/>
      <c r="AG320"/>
      <c r="AH320"/>
      <c r="AI320"/>
      <c r="AJ320"/>
      <c r="AK320"/>
      <c r="AN320"/>
      <c r="AO320"/>
      <c r="AP320"/>
      <c r="AQ320"/>
      <c r="AR320"/>
      <c r="AS320"/>
      <c r="AV320"/>
      <c r="AW320"/>
      <c r="AX320"/>
      <c r="AY320"/>
      <c r="AZ320"/>
      <c r="BA320"/>
      <c r="BL320"/>
      <c r="BM320"/>
      <c r="BN320"/>
      <c r="BO320"/>
      <c r="BP320"/>
      <c r="BQ320"/>
    </row>
    <row r="321" spans="4:69" x14ac:dyDescent="0.25">
      <c r="D321"/>
      <c r="E321"/>
      <c r="F321"/>
      <c r="G321"/>
      <c r="J321"/>
      <c r="K321"/>
      <c r="L321"/>
      <c r="M321"/>
      <c r="O321"/>
      <c r="P321"/>
      <c r="Q321"/>
      <c r="R321"/>
      <c r="S321"/>
      <c r="T321"/>
      <c r="U321"/>
      <c r="V321"/>
      <c r="Y321"/>
      <c r="Z321"/>
      <c r="AA321"/>
      <c r="AB321"/>
      <c r="AF321"/>
      <c r="AG321"/>
      <c r="AH321"/>
      <c r="AI321"/>
      <c r="AJ321"/>
      <c r="AK321"/>
      <c r="AN321"/>
      <c r="AO321"/>
      <c r="AP321"/>
      <c r="AQ321"/>
      <c r="AR321"/>
      <c r="AS321"/>
      <c r="AV321"/>
      <c r="AW321"/>
      <c r="AX321"/>
      <c r="AY321"/>
      <c r="AZ321"/>
      <c r="BA321"/>
      <c r="BL321"/>
      <c r="BM321"/>
      <c r="BN321"/>
      <c r="BO321"/>
      <c r="BP321"/>
      <c r="BQ321"/>
    </row>
    <row r="322" spans="4:69" x14ac:dyDescent="0.25">
      <c r="D322"/>
      <c r="E322"/>
      <c r="F322"/>
      <c r="G322"/>
      <c r="J322"/>
      <c r="K322"/>
      <c r="L322"/>
      <c r="M322"/>
      <c r="O322"/>
      <c r="P322"/>
      <c r="Q322"/>
      <c r="R322"/>
      <c r="S322"/>
      <c r="T322"/>
      <c r="U322"/>
      <c r="V322"/>
      <c r="Y322"/>
      <c r="Z322"/>
      <c r="AA322"/>
      <c r="AB322"/>
      <c r="AF322"/>
      <c r="AG322"/>
      <c r="AH322"/>
      <c r="AI322"/>
      <c r="AJ322"/>
      <c r="AK322"/>
      <c r="AN322"/>
      <c r="AO322"/>
      <c r="AP322"/>
      <c r="AQ322"/>
      <c r="AR322"/>
      <c r="AS322"/>
      <c r="AV322"/>
      <c r="AW322"/>
      <c r="AX322"/>
      <c r="AY322"/>
      <c r="AZ322"/>
      <c r="BA322"/>
      <c r="BL322"/>
      <c r="BM322"/>
      <c r="BN322"/>
      <c r="BO322"/>
      <c r="BP322"/>
      <c r="BQ322"/>
    </row>
    <row r="323" spans="4:69" x14ac:dyDescent="0.25">
      <c r="D323"/>
      <c r="E323"/>
      <c r="F323"/>
      <c r="G323"/>
      <c r="J323"/>
      <c r="K323"/>
      <c r="L323"/>
      <c r="M323"/>
      <c r="O323"/>
      <c r="P323"/>
      <c r="Q323"/>
      <c r="R323"/>
      <c r="S323"/>
      <c r="T323"/>
      <c r="U323"/>
      <c r="V323"/>
      <c r="Y323"/>
      <c r="Z323"/>
      <c r="AA323"/>
      <c r="AB323"/>
      <c r="AF323"/>
      <c r="AG323"/>
      <c r="AH323"/>
      <c r="AI323"/>
      <c r="AJ323"/>
      <c r="AK323"/>
      <c r="AN323"/>
      <c r="AO323"/>
      <c r="AP323"/>
      <c r="AQ323"/>
      <c r="AR323"/>
      <c r="AS323"/>
      <c r="AV323"/>
      <c r="AW323"/>
      <c r="AX323"/>
      <c r="AY323"/>
      <c r="AZ323"/>
      <c r="BA323"/>
      <c r="BL323"/>
      <c r="BM323"/>
      <c r="BN323"/>
      <c r="BO323"/>
      <c r="BP323"/>
      <c r="BQ323"/>
    </row>
    <row r="324" spans="4:69" x14ac:dyDescent="0.25">
      <c r="D324"/>
      <c r="E324"/>
      <c r="F324"/>
      <c r="G324"/>
      <c r="J324"/>
      <c r="K324"/>
      <c r="L324"/>
      <c r="M324"/>
      <c r="O324"/>
      <c r="P324"/>
      <c r="Q324"/>
      <c r="R324"/>
      <c r="S324"/>
      <c r="T324"/>
      <c r="U324"/>
      <c r="V324"/>
      <c r="Y324"/>
      <c r="Z324"/>
      <c r="AA324"/>
      <c r="AB324"/>
      <c r="AF324"/>
      <c r="AG324"/>
      <c r="AH324"/>
      <c r="AI324"/>
      <c r="AJ324"/>
      <c r="AK324"/>
      <c r="AN324"/>
      <c r="AO324"/>
      <c r="AP324"/>
      <c r="AQ324"/>
      <c r="AR324"/>
      <c r="AS324"/>
      <c r="AV324"/>
      <c r="AW324"/>
      <c r="AX324"/>
      <c r="AY324"/>
      <c r="AZ324"/>
      <c r="BA324"/>
      <c r="BL324"/>
      <c r="BM324"/>
      <c r="BN324"/>
      <c r="BO324"/>
      <c r="BP324"/>
      <c r="BQ324"/>
    </row>
    <row r="325" spans="4:69" x14ac:dyDescent="0.25">
      <c r="D325"/>
      <c r="E325"/>
      <c r="F325"/>
      <c r="G325"/>
      <c r="J325"/>
      <c r="K325"/>
      <c r="L325"/>
      <c r="M325"/>
      <c r="O325"/>
      <c r="P325"/>
      <c r="Q325"/>
      <c r="R325"/>
      <c r="S325"/>
      <c r="T325"/>
      <c r="U325"/>
      <c r="V325"/>
      <c r="Y325"/>
      <c r="Z325"/>
      <c r="AA325"/>
      <c r="AB325"/>
      <c r="AF325"/>
      <c r="AG325"/>
      <c r="AH325"/>
      <c r="AI325"/>
      <c r="AJ325"/>
      <c r="AK325"/>
      <c r="AN325"/>
      <c r="AO325"/>
      <c r="AP325"/>
      <c r="AQ325"/>
      <c r="AR325"/>
      <c r="AS325"/>
      <c r="AV325"/>
      <c r="AW325"/>
      <c r="AX325"/>
      <c r="AY325"/>
      <c r="AZ325"/>
      <c r="BA325"/>
      <c r="BL325"/>
      <c r="BM325"/>
      <c r="BN325"/>
      <c r="BO325"/>
      <c r="BP325"/>
      <c r="BQ325"/>
    </row>
    <row r="326" spans="4:69" x14ac:dyDescent="0.25">
      <c r="D326"/>
      <c r="E326"/>
      <c r="F326"/>
      <c r="G326"/>
      <c r="J326"/>
      <c r="K326"/>
      <c r="L326"/>
      <c r="M326"/>
      <c r="O326"/>
      <c r="P326"/>
      <c r="Q326"/>
      <c r="R326"/>
      <c r="S326"/>
      <c r="T326"/>
      <c r="U326"/>
      <c r="V326"/>
      <c r="Y326"/>
      <c r="Z326"/>
      <c r="AA326"/>
      <c r="AB326"/>
      <c r="AF326"/>
      <c r="AG326"/>
      <c r="AH326"/>
      <c r="AI326"/>
      <c r="AJ326"/>
      <c r="AK326"/>
      <c r="AN326"/>
      <c r="AO326"/>
      <c r="AP326"/>
      <c r="AQ326"/>
      <c r="AR326"/>
      <c r="AS326"/>
      <c r="AV326"/>
      <c r="AW326"/>
      <c r="AX326"/>
      <c r="AY326"/>
      <c r="AZ326"/>
      <c r="BA326"/>
      <c r="BL326"/>
      <c r="BM326"/>
      <c r="BN326"/>
      <c r="BO326"/>
      <c r="BP326"/>
      <c r="BQ326"/>
    </row>
    <row r="327" spans="4:69" x14ac:dyDescent="0.25">
      <c r="D327"/>
      <c r="E327"/>
      <c r="F327"/>
      <c r="G327"/>
      <c r="J327"/>
      <c r="K327"/>
      <c r="L327"/>
      <c r="M327"/>
      <c r="O327"/>
      <c r="P327"/>
      <c r="Q327"/>
      <c r="R327"/>
      <c r="S327"/>
      <c r="T327"/>
      <c r="U327"/>
      <c r="V327"/>
      <c r="Y327"/>
      <c r="Z327"/>
      <c r="AA327"/>
      <c r="AB327"/>
      <c r="AF327"/>
      <c r="AG327"/>
      <c r="AH327"/>
      <c r="AI327"/>
      <c r="AJ327"/>
      <c r="AK327"/>
      <c r="AN327"/>
      <c r="AO327"/>
      <c r="AP327"/>
      <c r="AQ327"/>
      <c r="AR327"/>
      <c r="AS327"/>
      <c r="AV327"/>
      <c r="AW327"/>
      <c r="AX327"/>
      <c r="AY327"/>
      <c r="AZ327"/>
      <c r="BA327"/>
      <c r="BL327"/>
      <c r="BM327"/>
      <c r="BN327"/>
      <c r="BO327"/>
      <c r="BP327"/>
      <c r="BQ327"/>
    </row>
    <row r="328" spans="4:69" x14ac:dyDescent="0.25">
      <c r="D328"/>
      <c r="E328"/>
      <c r="F328"/>
      <c r="G328"/>
      <c r="J328"/>
      <c r="K328"/>
      <c r="L328"/>
      <c r="M328"/>
      <c r="O328"/>
      <c r="P328"/>
      <c r="Q328"/>
      <c r="R328"/>
      <c r="S328"/>
      <c r="T328"/>
      <c r="U328"/>
      <c r="V328"/>
      <c r="Y328"/>
      <c r="Z328"/>
      <c r="AA328"/>
      <c r="AB328"/>
      <c r="AF328"/>
      <c r="AG328"/>
      <c r="AH328"/>
      <c r="AI328"/>
      <c r="AJ328"/>
      <c r="AK328"/>
      <c r="AN328"/>
      <c r="AO328"/>
      <c r="AP328"/>
      <c r="AQ328"/>
      <c r="AR328"/>
      <c r="AS328"/>
      <c r="AV328"/>
      <c r="AW328"/>
      <c r="AX328"/>
      <c r="AY328"/>
      <c r="AZ328"/>
      <c r="BA328"/>
      <c r="BL328"/>
      <c r="BM328"/>
      <c r="BN328"/>
      <c r="BO328"/>
      <c r="BP328"/>
      <c r="BQ328"/>
    </row>
    <row r="329" spans="4:69" x14ac:dyDescent="0.25">
      <c r="D329"/>
      <c r="E329"/>
      <c r="F329"/>
      <c r="G329"/>
      <c r="J329"/>
      <c r="K329"/>
      <c r="L329"/>
      <c r="M329"/>
      <c r="O329"/>
      <c r="P329"/>
      <c r="Q329"/>
      <c r="R329"/>
      <c r="S329"/>
      <c r="T329"/>
      <c r="U329"/>
      <c r="V329"/>
      <c r="Y329"/>
      <c r="Z329"/>
      <c r="AA329"/>
      <c r="AB329"/>
      <c r="AF329"/>
      <c r="AG329"/>
      <c r="AH329"/>
      <c r="AI329"/>
      <c r="AJ329"/>
      <c r="AK329"/>
      <c r="AN329"/>
      <c r="AO329"/>
      <c r="AP329"/>
      <c r="AQ329"/>
      <c r="AR329"/>
      <c r="AS329"/>
      <c r="AV329"/>
      <c r="AW329"/>
      <c r="AX329"/>
      <c r="AY329"/>
      <c r="AZ329"/>
      <c r="BA329"/>
      <c r="BL329"/>
      <c r="BM329"/>
      <c r="BN329"/>
      <c r="BO329"/>
      <c r="BP329"/>
      <c r="BQ329"/>
    </row>
    <row r="330" spans="4:69" x14ac:dyDescent="0.25">
      <c r="D330"/>
      <c r="E330"/>
      <c r="F330"/>
      <c r="G330"/>
      <c r="J330"/>
      <c r="K330"/>
      <c r="L330"/>
      <c r="M330"/>
      <c r="O330"/>
      <c r="P330"/>
      <c r="Q330"/>
      <c r="R330"/>
      <c r="S330"/>
      <c r="T330"/>
      <c r="U330"/>
      <c r="V330"/>
      <c r="Y330"/>
      <c r="Z330"/>
      <c r="AA330"/>
      <c r="AB330"/>
      <c r="AF330"/>
      <c r="AG330"/>
      <c r="AH330"/>
      <c r="AI330"/>
      <c r="AJ330"/>
      <c r="AK330"/>
      <c r="AN330"/>
      <c r="AO330"/>
      <c r="AP330"/>
      <c r="AQ330"/>
      <c r="AR330"/>
      <c r="AS330"/>
      <c r="AV330"/>
      <c r="AW330"/>
      <c r="AX330"/>
      <c r="AY330"/>
      <c r="AZ330"/>
      <c r="BA330"/>
      <c r="BL330"/>
      <c r="BM330"/>
      <c r="BN330"/>
      <c r="BO330"/>
      <c r="BP330"/>
      <c r="BQ330"/>
    </row>
    <row r="331" spans="4:69" x14ac:dyDescent="0.25">
      <c r="D331"/>
      <c r="E331"/>
      <c r="F331"/>
      <c r="G331"/>
      <c r="J331"/>
      <c r="K331"/>
      <c r="L331"/>
      <c r="M331"/>
      <c r="O331"/>
      <c r="P331"/>
      <c r="Q331"/>
      <c r="R331"/>
      <c r="S331"/>
      <c r="T331"/>
      <c r="U331"/>
      <c r="V331"/>
      <c r="Y331"/>
      <c r="Z331"/>
      <c r="AA331"/>
      <c r="AB331"/>
      <c r="AF331"/>
      <c r="AG331"/>
      <c r="AH331"/>
      <c r="AI331"/>
      <c r="AJ331"/>
      <c r="AK331"/>
      <c r="AN331"/>
      <c r="AO331"/>
      <c r="AP331"/>
      <c r="AQ331"/>
      <c r="AR331"/>
      <c r="AS331"/>
      <c r="AV331"/>
      <c r="AW331"/>
      <c r="AX331"/>
      <c r="AY331"/>
      <c r="AZ331"/>
      <c r="BA331"/>
      <c r="BL331"/>
      <c r="BM331"/>
      <c r="BN331"/>
      <c r="BO331"/>
      <c r="BP331"/>
      <c r="BQ331"/>
    </row>
    <row r="332" spans="4:69" x14ac:dyDescent="0.25">
      <c r="D332"/>
      <c r="E332"/>
      <c r="F332"/>
      <c r="G332"/>
      <c r="J332"/>
      <c r="K332"/>
      <c r="L332"/>
      <c r="M332"/>
      <c r="O332"/>
      <c r="P332"/>
      <c r="Q332"/>
      <c r="R332"/>
      <c r="S332"/>
      <c r="T332"/>
      <c r="U332"/>
      <c r="V332"/>
      <c r="Y332"/>
      <c r="Z332"/>
      <c r="AA332"/>
      <c r="AB332"/>
      <c r="AF332"/>
      <c r="AG332"/>
      <c r="AH332"/>
      <c r="AI332"/>
      <c r="AJ332"/>
      <c r="AK332"/>
      <c r="AN332"/>
      <c r="AO332"/>
      <c r="AP332"/>
      <c r="AQ332"/>
      <c r="AR332"/>
      <c r="AS332"/>
      <c r="AV332"/>
      <c r="AW332"/>
      <c r="AX332"/>
      <c r="AY332"/>
      <c r="AZ332"/>
      <c r="BA332"/>
      <c r="BL332"/>
      <c r="BM332"/>
      <c r="BN332"/>
      <c r="BO332"/>
      <c r="BP332"/>
      <c r="BQ332"/>
    </row>
    <row r="333" spans="4:69" x14ac:dyDescent="0.25">
      <c r="D333"/>
      <c r="E333"/>
      <c r="F333"/>
      <c r="G333"/>
      <c r="J333"/>
      <c r="K333"/>
      <c r="L333"/>
      <c r="M333"/>
      <c r="O333"/>
      <c r="P333"/>
      <c r="Q333"/>
      <c r="R333"/>
      <c r="S333"/>
      <c r="T333"/>
      <c r="U333"/>
      <c r="V333"/>
      <c r="Y333"/>
      <c r="Z333"/>
      <c r="AA333"/>
      <c r="AB333"/>
      <c r="AF333"/>
      <c r="AG333"/>
      <c r="AH333"/>
      <c r="AI333"/>
      <c r="AJ333"/>
      <c r="AK333"/>
      <c r="AN333"/>
      <c r="AO333"/>
      <c r="AP333"/>
      <c r="AQ333"/>
      <c r="AR333"/>
      <c r="AS333"/>
      <c r="AV333"/>
      <c r="AW333"/>
      <c r="AX333"/>
      <c r="AY333"/>
      <c r="AZ333"/>
      <c r="BA333"/>
      <c r="BL333"/>
      <c r="BM333"/>
      <c r="BN333"/>
      <c r="BO333"/>
      <c r="BP333"/>
      <c r="BQ333"/>
    </row>
    <row r="334" spans="4:69" x14ac:dyDescent="0.25">
      <c r="D334"/>
      <c r="E334"/>
      <c r="F334"/>
      <c r="G334"/>
      <c r="J334"/>
      <c r="K334"/>
      <c r="L334"/>
      <c r="M334"/>
      <c r="O334"/>
      <c r="P334"/>
      <c r="Q334"/>
      <c r="R334"/>
      <c r="S334"/>
      <c r="T334"/>
      <c r="U334"/>
      <c r="V334"/>
      <c r="Y334"/>
      <c r="Z334"/>
      <c r="AA334"/>
      <c r="AB334"/>
      <c r="AF334"/>
      <c r="AG334"/>
      <c r="AH334"/>
      <c r="AI334"/>
      <c r="AJ334"/>
      <c r="AK334"/>
      <c r="AN334"/>
      <c r="AO334"/>
      <c r="AP334"/>
      <c r="AQ334"/>
      <c r="AR334"/>
      <c r="AS334"/>
      <c r="AV334"/>
      <c r="AW334"/>
      <c r="AX334"/>
      <c r="AY334"/>
      <c r="AZ334"/>
      <c r="BA334"/>
      <c r="BL334"/>
      <c r="BM334"/>
      <c r="BN334"/>
      <c r="BO334"/>
      <c r="BP334"/>
      <c r="BQ334"/>
    </row>
    <row r="335" spans="4:69" x14ac:dyDescent="0.25">
      <c r="D335"/>
      <c r="E335"/>
      <c r="F335"/>
      <c r="G335"/>
      <c r="J335"/>
      <c r="K335"/>
      <c r="L335"/>
      <c r="M335"/>
      <c r="O335"/>
      <c r="P335"/>
      <c r="Q335"/>
      <c r="R335"/>
      <c r="S335"/>
      <c r="T335"/>
      <c r="U335"/>
      <c r="V335"/>
      <c r="Y335"/>
      <c r="Z335"/>
      <c r="AA335"/>
      <c r="AB335"/>
      <c r="AF335"/>
      <c r="AG335"/>
      <c r="AH335"/>
      <c r="AI335"/>
      <c r="AJ335"/>
      <c r="AK335"/>
      <c r="AN335"/>
      <c r="AO335"/>
      <c r="AP335"/>
      <c r="AQ335"/>
      <c r="AR335"/>
      <c r="AS335"/>
      <c r="AV335"/>
      <c r="AW335"/>
      <c r="AX335"/>
      <c r="AY335"/>
      <c r="AZ335"/>
      <c r="BA335"/>
      <c r="BL335"/>
      <c r="BM335"/>
      <c r="BN335"/>
      <c r="BO335"/>
      <c r="BP335"/>
      <c r="BQ335"/>
    </row>
    <row r="336" spans="4:69" x14ac:dyDescent="0.25">
      <c r="D336"/>
      <c r="E336"/>
      <c r="F336"/>
      <c r="G336"/>
      <c r="J336"/>
      <c r="K336"/>
      <c r="L336"/>
      <c r="M336"/>
      <c r="O336"/>
      <c r="P336"/>
      <c r="Q336"/>
      <c r="R336"/>
      <c r="S336"/>
      <c r="T336"/>
      <c r="U336"/>
      <c r="V336"/>
      <c r="Y336"/>
      <c r="Z336"/>
      <c r="AA336"/>
      <c r="AB336"/>
      <c r="AF336"/>
      <c r="AG336"/>
      <c r="AH336"/>
      <c r="AI336"/>
      <c r="AJ336"/>
      <c r="AK336"/>
      <c r="AN336"/>
      <c r="AO336"/>
      <c r="AP336"/>
      <c r="AQ336"/>
      <c r="AR336"/>
      <c r="AS336"/>
      <c r="AV336"/>
      <c r="AW336"/>
      <c r="AX336"/>
      <c r="AY336"/>
      <c r="AZ336"/>
      <c r="BA336"/>
      <c r="BL336"/>
      <c r="BM336"/>
      <c r="BN336"/>
      <c r="BO336"/>
      <c r="BP336"/>
      <c r="BQ336"/>
    </row>
    <row r="337" spans="4:69" x14ac:dyDescent="0.25">
      <c r="D337"/>
      <c r="E337"/>
      <c r="F337"/>
      <c r="G337"/>
      <c r="J337"/>
      <c r="K337"/>
      <c r="L337"/>
      <c r="M337"/>
      <c r="O337"/>
      <c r="P337"/>
      <c r="Q337"/>
      <c r="R337"/>
      <c r="S337"/>
      <c r="T337"/>
      <c r="U337"/>
      <c r="V337"/>
      <c r="Y337"/>
      <c r="Z337"/>
      <c r="AA337"/>
      <c r="AB337"/>
      <c r="AF337"/>
      <c r="AG337"/>
      <c r="AH337"/>
      <c r="AI337"/>
      <c r="AJ337"/>
      <c r="AK337"/>
      <c r="AN337"/>
      <c r="AO337"/>
      <c r="AP337"/>
      <c r="AQ337"/>
      <c r="AR337"/>
      <c r="AS337"/>
      <c r="AV337"/>
      <c r="AW337"/>
      <c r="AX337"/>
      <c r="AY337"/>
      <c r="AZ337"/>
      <c r="BA337"/>
      <c r="BL337"/>
      <c r="BM337"/>
      <c r="BN337"/>
      <c r="BO337"/>
      <c r="BP337"/>
      <c r="BQ337"/>
    </row>
    <row r="338" spans="4:69" x14ac:dyDescent="0.25">
      <c r="D338"/>
      <c r="E338"/>
      <c r="F338"/>
      <c r="G338"/>
      <c r="J338"/>
      <c r="K338"/>
      <c r="L338"/>
      <c r="M338"/>
      <c r="O338"/>
      <c r="P338"/>
      <c r="Q338"/>
      <c r="R338"/>
      <c r="S338"/>
      <c r="T338"/>
      <c r="U338"/>
      <c r="V338"/>
      <c r="Y338"/>
      <c r="Z338"/>
      <c r="AA338"/>
      <c r="AB338"/>
      <c r="AF338"/>
      <c r="AG338"/>
      <c r="AH338"/>
      <c r="AI338"/>
      <c r="AJ338"/>
      <c r="AK338"/>
      <c r="AN338"/>
      <c r="AO338"/>
      <c r="AP338"/>
      <c r="AQ338"/>
      <c r="AR338"/>
      <c r="AS338"/>
      <c r="AV338"/>
      <c r="AW338"/>
      <c r="AX338"/>
      <c r="AY338"/>
      <c r="AZ338"/>
      <c r="BA338"/>
      <c r="BL338"/>
      <c r="BM338"/>
      <c r="BN338"/>
      <c r="BO338"/>
      <c r="BP338"/>
      <c r="BQ338"/>
    </row>
    <row r="339" spans="4:69" x14ac:dyDescent="0.25">
      <c r="D339"/>
      <c r="E339"/>
      <c r="F339"/>
      <c r="G339"/>
      <c r="J339"/>
      <c r="K339"/>
      <c r="L339"/>
      <c r="M339"/>
      <c r="O339"/>
      <c r="P339"/>
      <c r="Q339"/>
      <c r="R339"/>
      <c r="S339"/>
      <c r="T339"/>
      <c r="U339"/>
      <c r="V339"/>
      <c r="Y339"/>
      <c r="Z339"/>
      <c r="AA339"/>
      <c r="AB339"/>
      <c r="AF339"/>
      <c r="AG339"/>
      <c r="AH339"/>
      <c r="AI339"/>
      <c r="AJ339"/>
      <c r="AK339"/>
      <c r="AN339"/>
      <c r="AO339"/>
      <c r="AP339"/>
      <c r="AQ339"/>
      <c r="AR339"/>
      <c r="AS339"/>
      <c r="AV339"/>
      <c r="AW339"/>
      <c r="AX339"/>
      <c r="AY339"/>
      <c r="AZ339"/>
      <c r="BA339"/>
      <c r="BL339"/>
      <c r="BM339"/>
      <c r="BN339"/>
      <c r="BO339"/>
      <c r="BP339"/>
      <c r="BQ339"/>
    </row>
    <row r="340" spans="4:69" x14ac:dyDescent="0.25">
      <c r="D340"/>
      <c r="E340"/>
      <c r="F340"/>
      <c r="G340"/>
      <c r="J340"/>
      <c r="K340"/>
      <c r="L340"/>
      <c r="M340"/>
      <c r="O340"/>
      <c r="P340"/>
      <c r="Q340"/>
      <c r="R340"/>
      <c r="S340"/>
      <c r="T340"/>
      <c r="U340"/>
      <c r="V340"/>
      <c r="Y340"/>
      <c r="Z340"/>
      <c r="AA340"/>
      <c r="AB340"/>
      <c r="AF340"/>
      <c r="AG340"/>
      <c r="AH340"/>
      <c r="AI340"/>
      <c r="AJ340"/>
      <c r="AK340"/>
      <c r="AN340"/>
      <c r="AO340"/>
      <c r="AP340"/>
      <c r="AQ340"/>
      <c r="AR340"/>
      <c r="AS340"/>
      <c r="AV340"/>
      <c r="AW340"/>
      <c r="AX340"/>
      <c r="AY340"/>
      <c r="AZ340"/>
      <c r="BA340"/>
      <c r="BL340"/>
      <c r="BM340"/>
      <c r="BN340"/>
      <c r="BO340"/>
      <c r="BP340"/>
      <c r="BQ340"/>
    </row>
    <row r="341" spans="4:69" x14ac:dyDescent="0.25">
      <c r="D341"/>
      <c r="E341"/>
      <c r="F341"/>
      <c r="G341"/>
      <c r="J341"/>
      <c r="K341"/>
      <c r="L341"/>
      <c r="M341"/>
      <c r="O341"/>
      <c r="P341"/>
      <c r="Q341"/>
      <c r="R341"/>
      <c r="S341"/>
      <c r="T341"/>
      <c r="U341"/>
      <c r="V341"/>
      <c r="Y341"/>
      <c r="Z341"/>
      <c r="AA341"/>
      <c r="AB341"/>
      <c r="AF341"/>
      <c r="AG341"/>
      <c r="AH341"/>
      <c r="AI341"/>
      <c r="AJ341"/>
      <c r="AK341"/>
      <c r="AN341"/>
      <c r="AO341"/>
      <c r="AP341"/>
      <c r="AQ341"/>
      <c r="AR341"/>
      <c r="AS341"/>
      <c r="AV341"/>
      <c r="AW341"/>
      <c r="AX341"/>
      <c r="AY341"/>
      <c r="AZ341"/>
      <c r="BA341"/>
      <c r="BL341"/>
      <c r="BM341"/>
      <c r="BN341"/>
      <c r="BO341"/>
      <c r="BP341"/>
      <c r="BQ341"/>
    </row>
    <row r="342" spans="4:69" x14ac:dyDescent="0.25">
      <c r="D342"/>
      <c r="E342"/>
      <c r="F342"/>
      <c r="G342"/>
      <c r="J342"/>
      <c r="K342"/>
      <c r="L342"/>
      <c r="M342"/>
      <c r="O342"/>
      <c r="P342"/>
      <c r="Q342"/>
      <c r="R342"/>
      <c r="S342"/>
      <c r="T342"/>
      <c r="U342"/>
      <c r="V342"/>
      <c r="Y342"/>
      <c r="Z342"/>
      <c r="AA342"/>
      <c r="AB342"/>
      <c r="AF342"/>
      <c r="AG342"/>
      <c r="AH342"/>
      <c r="AI342"/>
      <c r="AJ342"/>
      <c r="AK342"/>
      <c r="AN342"/>
      <c r="AO342"/>
      <c r="AP342"/>
      <c r="AQ342"/>
      <c r="AR342"/>
      <c r="AS342"/>
      <c r="AV342"/>
      <c r="AW342"/>
      <c r="AX342"/>
      <c r="AY342"/>
      <c r="AZ342"/>
      <c r="BA342"/>
      <c r="BL342"/>
      <c r="BM342"/>
      <c r="BN342"/>
      <c r="BO342"/>
      <c r="BP342"/>
      <c r="BQ342"/>
    </row>
    <row r="343" spans="4:69" x14ac:dyDescent="0.25">
      <c r="D343"/>
      <c r="E343"/>
      <c r="F343"/>
      <c r="G343"/>
      <c r="J343"/>
      <c r="K343"/>
      <c r="L343"/>
      <c r="M343"/>
      <c r="O343"/>
      <c r="P343"/>
      <c r="Q343"/>
      <c r="R343"/>
      <c r="S343"/>
      <c r="T343"/>
      <c r="U343"/>
      <c r="V343"/>
      <c r="Y343"/>
      <c r="Z343"/>
      <c r="AA343"/>
      <c r="AB343"/>
      <c r="AF343"/>
      <c r="AG343"/>
      <c r="AH343"/>
      <c r="AI343"/>
      <c r="AJ343"/>
      <c r="AK343"/>
      <c r="AN343"/>
      <c r="AO343"/>
      <c r="AP343"/>
      <c r="AQ343"/>
      <c r="AR343"/>
      <c r="AS343"/>
      <c r="AV343"/>
      <c r="AW343"/>
      <c r="AX343"/>
      <c r="AY343"/>
      <c r="AZ343"/>
      <c r="BA343"/>
      <c r="BL343"/>
      <c r="BM343"/>
      <c r="BN343"/>
      <c r="BO343"/>
      <c r="BP343"/>
      <c r="BQ343"/>
    </row>
    <row r="344" spans="4:69" x14ac:dyDescent="0.25">
      <c r="D344"/>
      <c r="E344"/>
      <c r="F344"/>
      <c r="G344"/>
      <c r="J344"/>
      <c r="K344"/>
      <c r="L344"/>
      <c r="M344"/>
      <c r="O344"/>
      <c r="P344"/>
      <c r="Q344"/>
      <c r="R344"/>
      <c r="S344"/>
      <c r="T344"/>
      <c r="U344"/>
      <c r="V344"/>
      <c r="Y344"/>
      <c r="Z344"/>
      <c r="AA344"/>
      <c r="AB344"/>
      <c r="AF344"/>
      <c r="AG344"/>
      <c r="AH344"/>
      <c r="AI344"/>
      <c r="AJ344"/>
      <c r="AK344"/>
      <c r="AN344"/>
      <c r="AO344"/>
      <c r="AP344"/>
      <c r="AQ344"/>
      <c r="AR344"/>
      <c r="AS344"/>
      <c r="AV344"/>
      <c r="AW344"/>
      <c r="AX344"/>
      <c r="AY344"/>
      <c r="AZ344"/>
      <c r="BA344"/>
      <c r="BL344"/>
      <c r="BM344"/>
      <c r="BN344"/>
      <c r="BO344"/>
      <c r="BP344"/>
      <c r="BQ344"/>
    </row>
    <row r="345" spans="4:69" x14ac:dyDescent="0.25">
      <c r="D345"/>
      <c r="E345"/>
      <c r="F345"/>
      <c r="G345"/>
      <c r="J345"/>
      <c r="K345"/>
      <c r="L345"/>
      <c r="M345"/>
      <c r="O345"/>
      <c r="P345"/>
      <c r="Q345"/>
      <c r="R345"/>
      <c r="S345"/>
      <c r="T345"/>
      <c r="U345"/>
      <c r="V345"/>
      <c r="Y345"/>
      <c r="Z345"/>
      <c r="AA345"/>
      <c r="AB345"/>
      <c r="AF345"/>
      <c r="AG345"/>
      <c r="AH345"/>
      <c r="AI345"/>
      <c r="AJ345"/>
      <c r="AK345"/>
      <c r="AN345"/>
      <c r="AO345"/>
      <c r="AP345"/>
      <c r="AQ345"/>
      <c r="AR345"/>
      <c r="AS345"/>
      <c r="AV345"/>
      <c r="AW345"/>
      <c r="AX345"/>
      <c r="AY345"/>
      <c r="AZ345"/>
      <c r="BA345"/>
      <c r="BL345"/>
      <c r="BM345"/>
      <c r="BN345"/>
      <c r="BO345"/>
      <c r="BP345"/>
      <c r="BQ345"/>
    </row>
    <row r="346" spans="4:69" x14ac:dyDescent="0.25">
      <c r="D346"/>
      <c r="E346"/>
      <c r="F346"/>
      <c r="G346"/>
      <c r="J346"/>
      <c r="K346"/>
      <c r="L346"/>
      <c r="M346"/>
      <c r="O346"/>
      <c r="P346"/>
      <c r="Q346"/>
      <c r="R346"/>
      <c r="S346"/>
      <c r="T346"/>
      <c r="U346"/>
      <c r="V346"/>
      <c r="Y346"/>
      <c r="Z346"/>
      <c r="AA346"/>
      <c r="AB346"/>
      <c r="AF346"/>
      <c r="AG346"/>
      <c r="AH346"/>
      <c r="AI346"/>
      <c r="AJ346"/>
      <c r="AK346"/>
      <c r="AN346"/>
      <c r="AO346"/>
      <c r="AP346"/>
      <c r="AQ346"/>
      <c r="AR346"/>
      <c r="AS346"/>
      <c r="AV346"/>
      <c r="AW346"/>
      <c r="AX346"/>
      <c r="AY346"/>
      <c r="AZ346"/>
      <c r="BA346"/>
      <c r="BL346"/>
      <c r="BM346"/>
      <c r="BN346"/>
      <c r="BO346"/>
      <c r="BP346"/>
      <c r="BQ346"/>
    </row>
    <row r="347" spans="4:69" x14ac:dyDescent="0.25">
      <c r="D347"/>
      <c r="E347"/>
      <c r="F347"/>
      <c r="G347"/>
      <c r="J347"/>
      <c r="K347"/>
      <c r="L347"/>
      <c r="M347"/>
      <c r="O347"/>
      <c r="P347"/>
      <c r="Q347"/>
      <c r="R347"/>
      <c r="S347"/>
      <c r="T347"/>
      <c r="U347"/>
      <c r="V347"/>
      <c r="Y347"/>
      <c r="Z347"/>
      <c r="AA347"/>
      <c r="AB347"/>
      <c r="AF347"/>
      <c r="AG347"/>
      <c r="AH347"/>
      <c r="AI347"/>
      <c r="AJ347"/>
      <c r="AK347"/>
      <c r="AN347"/>
      <c r="AO347"/>
      <c r="AP347"/>
      <c r="AQ347"/>
      <c r="AR347"/>
      <c r="AS347"/>
      <c r="AV347"/>
      <c r="AW347"/>
      <c r="AX347"/>
      <c r="AY347"/>
      <c r="AZ347"/>
      <c r="BA347"/>
      <c r="BL347"/>
      <c r="BM347"/>
      <c r="BN347"/>
      <c r="BO347"/>
      <c r="BP347"/>
      <c r="BQ347"/>
    </row>
    <row r="348" spans="4:69" x14ac:dyDescent="0.25">
      <c r="D348"/>
      <c r="E348"/>
      <c r="F348"/>
      <c r="G348"/>
      <c r="J348"/>
      <c r="K348"/>
      <c r="L348"/>
      <c r="M348"/>
      <c r="O348"/>
      <c r="P348"/>
      <c r="Q348"/>
      <c r="R348"/>
      <c r="S348"/>
      <c r="T348"/>
      <c r="U348"/>
      <c r="V348"/>
      <c r="Y348"/>
      <c r="Z348"/>
      <c r="AA348"/>
      <c r="AB348"/>
      <c r="AF348"/>
      <c r="AG348"/>
      <c r="AH348"/>
      <c r="AI348"/>
      <c r="AJ348"/>
      <c r="AK348"/>
      <c r="AN348"/>
      <c r="AO348"/>
      <c r="AP348"/>
      <c r="AQ348"/>
      <c r="AR348"/>
      <c r="AS348"/>
      <c r="AV348"/>
      <c r="AW348"/>
      <c r="AX348"/>
      <c r="AY348"/>
      <c r="AZ348"/>
      <c r="BA348"/>
      <c r="BL348"/>
      <c r="BM348"/>
      <c r="BN348"/>
      <c r="BO348"/>
      <c r="BP348"/>
      <c r="BQ348"/>
    </row>
    <row r="349" spans="4:69" x14ac:dyDescent="0.25">
      <c r="D349"/>
      <c r="E349"/>
      <c r="F349"/>
      <c r="G349"/>
      <c r="J349"/>
      <c r="K349"/>
      <c r="L349"/>
      <c r="M349"/>
      <c r="O349"/>
      <c r="P349"/>
      <c r="Q349"/>
      <c r="R349"/>
      <c r="S349"/>
      <c r="T349"/>
      <c r="U349"/>
      <c r="V349"/>
      <c r="Y349"/>
      <c r="Z349"/>
      <c r="AA349"/>
      <c r="AB349"/>
      <c r="AF349"/>
      <c r="AG349"/>
      <c r="AH349"/>
      <c r="AI349"/>
      <c r="AJ349"/>
      <c r="AK349"/>
      <c r="AN349"/>
      <c r="AO349"/>
      <c r="AP349"/>
      <c r="AQ349"/>
      <c r="AR349"/>
      <c r="AS349"/>
      <c r="AV349"/>
      <c r="AW349"/>
      <c r="AX349"/>
      <c r="AY349"/>
      <c r="AZ349"/>
      <c r="BA349"/>
      <c r="BL349"/>
      <c r="BM349"/>
      <c r="BN349"/>
      <c r="BO349"/>
      <c r="BP349"/>
      <c r="BQ349"/>
    </row>
    <row r="350" spans="4:69" x14ac:dyDescent="0.25">
      <c r="D350"/>
      <c r="E350"/>
      <c r="F350"/>
      <c r="G350"/>
      <c r="J350"/>
      <c r="K350"/>
      <c r="L350"/>
      <c r="M350"/>
      <c r="O350"/>
      <c r="P350"/>
      <c r="Q350"/>
      <c r="R350"/>
      <c r="S350"/>
      <c r="T350"/>
      <c r="U350"/>
      <c r="V350"/>
      <c r="Y350"/>
      <c r="Z350"/>
      <c r="AA350"/>
      <c r="AB350"/>
      <c r="AF350"/>
      <c r="AG350"/>
      <c r="AH350"/>
      <c r="AI350"/>
      <c r="AJ350"/>
      <c r="AK350"/>
      <c r="AN350"/>
      <c r="AO350"/>
      <c r="AP350"/>
      <c r="AQ350"/>
      <c r="AR350"/>
      <c r="AS350"/>
      <c r="AV350"/>
      <c r="AW350"/>
      <c r="AX350"/>
      <c r="AY350"/>
      <c r="AZ350"/>
      <c r="BA350"/>
      <c r="BL350"/>
      <c r="BM350"/>
      <c r="BN350"/>
      <c r="BO350"/>
      <c r="BP350"/>
      <c r="BQ350"/>
    </row>
    <row r="351" spans="4:69" x14ac:dyDescent="0.25">
      <c r="D351"/>
      <c r="E351"/>
      <c r="F351"/>
      <c r="G351"/>
      <c r="J351"/>
      <c r="K351"/>
      <c r="L351"/>
      <c r="M351"/>
      <c r="O351"/>
      <c r="P351"/>
      <c r="Q351"/>
      <c r="R351"/>
      <c r="S351"/>
      <c r="T351"/>
      <c r="U351"/>
      <c r="V351"/>
      <c r="Y351"/>
      <c r="Z351"/>
      <c r="AA351"/>
      <c r="AB351"/>
      <c r="AF351"/>
      <c r="AG351"/>
      <c r="AH351"/>
      <c r="AI351"/>
      <c r="AJ351"/>
      <c r="AK351"/>
      <c r="AN351"/>
      <c r="AO351"/>
      <c r="AP351"/>
      <c r="AQ351"/>
      <c r="AR351"/>
      <c r="AS351"/>
      <c r="AV351"/>
      <c r="AW351"/>
      <c r="AX351"/>
      <c r="AY351"/>
      <c r="AZ351"/>
      <c r="BA351"/>
      <c r="BL351"/>
      <c r="BM351"/>
      <c r="BN351"/>
      <c r="BO351"/>
      <c r="BP351"/>
      <c r="BQ351"/>
    </row>
    <row r="352" spans="4:69" x14ac:dyDescent="0.25">
      <c r="D352"/>
      <c r="E352"/>
      <c r="F352"/>
      <c r="G352"/>
      <c r="J352"/>
      <c r="K352"/>
      <c r="L352"/>
      <c r="M352"/>
      <c r="O352"/>
      <c r="P352"/>
      <c r="Q352"/>
      <c r="R352"/>
      <c r="S352"/>
      <c r="T352"/>
      <c r="U352"/>
      <c r="V352"/>
      <c r="Y352"/>
      <c r="Z352"/>
      <c r="AA352"/>
      <c r="AB352"/>
      <c r="AF352"/>
      <c r="AG352"/>
      <c r="AH352"/>
      <c r="AI352"/>
      <c r="AJ352"/>
      <c r="AK352"/>
      <c r="AN352"/>
      <c r="AO352"/>
      <c r="AP352"/>
      <c r="AQ352"/>
      <c r="AR352"/>
      <c r="AS352"/>
      <c r="AV352"/>
      <c r="AW352"/>
      <c r="AX352"/>
      <c r="AY352"/>
      <c r="AZ352"/>
      <c r="BA352"/>
      <c r="BL352"/>
      <c r="BM352"/>
      <c r="BN352"/>
      <c r="BO352"/>
      <c r="BP352"/>
      <c r="BQ352"/>
    </row>
    <row r="353" spans="4:69" x14ac:dyDescent="0.25">
      <c r="D353"/>
      <c r="E353"/>
      <c r="F353"/>
      <c r="G353"/>
      <c r="J353"/>
      <c r="K353"/>
      <c r="L353"/>
      <c r="M353"/>
      <c r="O353"/>
      <c r="P353"/>
      <c r="Q353"/>
      <c r="R353"/>
      <c r="S353"/>
      <c r="T353"/>
      <c r="U353"/>
      <c r="V353"/>
      <c r="Y353"/>
      <c r="Z353"/>
      <c r="AA353"/>
      <c r="AB353"/>
      <c r="AF353"/>
      <c r="AG353"/>
      <c r="AH353"/>
      <c r="AI353"/>
      <c r="AJ353"/>
      <c r="AK353"/>
      <c r="AN353"/>
      <c r="AO353"/>
      <c r="AP353"/>
      <c r="AQ353"/>
      <c r="AR353"/>
      <c r="AS353"/>
      <c r="AV353"/>
      <c r="AW353"/>
      <c r="AX353"/>
      <c r="AY353"/>
      <c r="AZ353"/>
      <c r="BA353"/>
      <c r="BL353"/>
      <c r="BM353"/>
      <c r="BN353"/>
      <c r="BO353"/>
      <c r="BP353"/>
      <c r="BQ353"/>
    </row>
    <row r="354" spans="4:69" x14ac:dyDescent="0.25">
      <c r="D354"/>
      <c r="E354"/>
      <c r="F354"/>
      <c r="G354"/>
      <c r="J354"/>
      <c r="K354"/>
      <c r="L354"/>
      <c r="M354"/>
      <c r="O354"/>
      <c r="P354"/>
      <c r="Q354"/>
      <c r="R354"/>
      <c r="S354"/>
      <c r="T354"/>
      <c r="U354"/>
      <c r="V354"/>
      <c r="Y354"/>
      <c r="Z354"/>
      <c r="AA354"/>
      <c r="AB354"/>
      <c r="AF354"/>
      <c r="AG354"/>
      <c r="AH354"/>
      <c r="AI354"/>
      <c r="AJ354"/>
      <c r="AK354"/>
      <c r="AN354"/>
      <c r="AO354"/>
      <c r="AP354"/>
      <c r="AQ354"/>
      <c r="AR354"/>
      <c r="AS354"/>
      <c r="AV354"/>
      <c r="AW354"/>
      <c r="AX354"/>
      <c r="AY354"/>
      <c r="AZ354"/>
      <c r="BA354"/>
      <c r="BL354"/>
      <c r="BM354"/>
      <c r="BN354"/>
      <c r="BO354"/>
      <c r="BP354"/>
      <c r="BQ354"/>
    </row>
    <row r="355" spans="4:69" x14ac:dyDescent="0.25">
      <c r="D355"/>
      <c r="E355"/>
      <c r="F355"/>
      <c r="G355"/>
      <c r="J355"/>
      <c r="K355"/>
      <c r="L355"/>
      <c r="M355"/>
      <c r="O355"/>
      <c r="P355"/>
      <c r="Q355"/>
      <c r="R355"/>
      <c r="S355"/>
      <c r="T355"/>
      <c r="U355"/>
      <c r="V355"/>
      <c r="Y355"/>
      <c r="Z355"/>
      <c r="AA355"/>
      <c r="AB355"/>
      <c r="AF355"/>
      <c r="AG355"/>
      <c r="AH355"/>
      <c r="AI355"/>
      <c r="AJ355"/>
      <c r="AK355"/>
      <c r="AN355"/>
      <c r="AO355"/>
      <c r="AP355"/>
      <c r="AQ355"/>
      <c r="AR355"/>
      <c r="AS355"/>
      <c r="AV355"/>
      <c r="AW355"/>
      <c r="AX355"/>
      <c r="AY355"/>
      <c r="AZ355"/>
      <c r="BA355"/>
      <c r="BL355"/>
      <c r="BM355"/>
      <c r="BN355"/>
      <c r="BO355"/>
      <c r="BP355"/>
      <c r="BQ355"/>
    </row>
    <row r="356" spans="4:69" x14ac:dyDescent="0.25">
      <c r="D356"/>
      <c r="E356"/>
      <c r="F356"/>
      <c r="G356"/>
      <c r="J356"/>
      <c r="K356"/>
      <c r="L356"/>
      <c r="M356"/>
      <c r="O356"/>
      <c r="P356"/>
      <c r="Q356"/>
      <c r="R356"/>
      <c r="S356"/>
      <c r="T356"/>
      <c r="U356"/>
      <c r="V356"/>
      <c r="Y356"/>
      <c r="Z356"/>
      <c r="AA356"/>
      <c r="AB356"/>
      <c r="AF356"/>
      <c r="AG356"/>
      <c r="AH356"/>
      <c r="AI356"/>
      <c r="AJ356"/>
      <c r="AK356"/>
      <c r="AN356"/>
      <c r="AO356"/>
      <c r="AP356"/>
      <c r="AQ356"/>
      <c r="AR356"/>
      <c r="AS356"/>
      <c r="AV356"/>
      <c r="AW356"/>
      <c r="AX356"/>
      <c r="AY356"/>
      <c r="AZ356"/>
      <c r="BA356"/>
      <c r="BL356"/>
      <c r="BM356"/>
      <c r="BN356"/>
      <c r="BO356"/>
      <c r="BP356"/>
      <c r="BQ356"/>
    </row>
    <row r="357" spans="4:69" x14ac:dyDescent="0.25">
      <c r="D357"/>
      <c r="E357"/>
      <c r="F357"/>
      <c r="G357"/>
      <c r="J357"/>
      <c r="K357"/>
      <c r="L357"/>
      <c r="M357"/>
      <c r="O357"/>
      <c r="P357"/>
      <c r="Q357"/>
      <c r="R357"/>
      <c r="S357"/>
      <c r="T357"/>
      <c r="U357"/>
      <c r="V357"/>
      <c r="Y357"/>
      <c r="Z357"/>
      <c r="AA357"/>
      <c r="AB357"/>
      <c r="AF357"/>
      <c r="AG357"/>
      <c r="AH357"/>
      <c r="AI357"/>
      <c r="AJ357"/>
      <c r="AK357"/>
      <c r="AN357"/>
      <c r="AO357"/>
      <c r="AP357"/>
      <c r="AQ357"/>
      <c r="AR357"/>
      <c r="AS357"/>
      <c r="AV357"/>
      <c r="AW357"/>
      <c r="AX357"/>
      <c r="AY357"/>
      <c r="AZ357"/>
      <c r="BA357"/>
      <c r="BL357"/>
      <c r="BM357"/>
      <c r="BN357"/>
      <c r="BO357"/>
      <c r="BP357"/>
      <c r="BQ357"/>
    </row>
    <row r="358" spans="4:69" x14ac:dyDescent="0.25">
      <c r="D358"/>
      <c r="E358"/>
      <c r="F358"/>
      <c r="G358"/>
      <c r="J358"/>
      <c r="K358"/>
      <c r="L358"/>
      <c r="M358"/>
      <c r="O358"/>
      <c r="P358"/>
      <c r="Q358"/>
      <c r="R358"/>
      <c r="S358"/>
      <c r="T358"/>
      <c r="U358"/>
      <c r="V358"/>
      <c r="Y358"/>
      <c r="Z358"/>
      <c r="AA358"/>
      <c r="AB358"/>
      <c r="AF358"/>
      <c r="AG358"/>
      <c r="AH358"/>
      <c r="AI358"/>
      <c r="AJ358"/>
      <c r="AK358"/>
      <c r="AN358"/>
      <c r="AO358"/>
      <c r="AP358"/>
      <c r="AQ358"/>
      <c r="AR358"/>
      <c r="AS358"/>
      <c r="AV358"/>
      <c r="AW358"/>
      <c r="AX358"/>
      <c r="AY358"/>
      <c r="AZ358"/>
      <c r="BA358"/>
      <c r="BL358"/>
      <c r="BM358"/>
      <c r="BN358"/>
      <c r="BO358"/>
      <c r="BP358"/>
      <c r="BQ358"/>
    </row>
    <row r="359" spans="4:69" x14ac:dyDescent="0.25">
      <c r="D359"/>
      <c r="E359"/>
      <c r="F359"/>
      <c r="G359"/>
      <c r="J359"/>
      <c r="K359"/>
      <c r="L359"/>
      <c r="M359"/>
      <c r="O359"/>
      <c r="P359"/>
      <c r="Q359"/>
      <c r="R359"/>
      <c r="S359"/>
      <c r="T359"/>
      <c r="U359"/>
      <c r="V359"/>
      <c r="Y359"/>
      <c r="Z359"/>
      <c r="AA359"/>
      <c r="AB359"/>
      <c r="AF359"/>
      <c r="AG359"/>
      <c r="AH359"/>
      <c r="AI359"/>
      <c r="AJ359"/>
      <c r="AK359"/>
      <c r="AN359"/>
      <c r="AO359"/>
      <c r="AP359"/>
      <c r="AQ359"/>
      <c r="AR359"/>
      <c r="AS359"/>
      <c r="AV359"/>
      <c r="AW359"/>
      <c r="AX359"/>
      <c r="AY359"/>
      <c r="AZ359"/>
      <c r="BA359"/>
      <c r="BL359"/>
      <c r="BM359"/>
      <c r="BN359"/>
      <c r="BO359"/>
      <c r="BP359"/>
      <c r="BQ359"/>
    </row>
    <row r="360" spans="4:69" x14ac:dyDescent="0.25">
      <c r="D360"/>
      <c r="E360"/>
      <c r="F360"/>
      <c r="G360"/>
      <c r="J360"/>
      <c r="K360"/>
      <c r="L360"/>
      <c r="M360"/>
      <c r="O360"/>
      <c r="P360"/>
      <c r="Q360"/>
      <c r="R360"/>
      <c r="S360"/>
      <c r="T360"/>
      <c r="U360"/>
      <c r="V360"/>
      <c r="Y360"/>
      <c r="Z360"/>
      <c r="AA360"/>
      <c r="AB360"/>
      <c r="AF360"/>
      <c r="AG360"/>
      <c r="AH360"/>
      <c r="AI360"/>
      <c r="AJ360"/>
      <c r="AK360"/>
      <c r="AN360"/>
      <c r="AO360"/>
      <c r="AP360"/>
      <c r="AQ360"/>
      <c r="AR360"/>
      <c r="AS360"/>
      <c r="AV360"/>
      <c r="AW360"/>
      <c r="AX360"/>
      <c r="AY360"/>
      <c r="AZ360"/>
      <c r="BA360"/>
      <c r="BL360"/>
      <c r="BM360"/>
      <c r="BN360"/>
      <c r="BO360"/>
      <c r="BP360"/>
      <c r="BQ360"/>
    </row>
    <row r="361" spans="4:69" x14ac:dyDescent="0.25">
      <c r="D361"/>
      <c r="E361"/>
      <c r="F361"/>
      <c r="G361"/>
      <c r="J361"/>
      <c r="K361"/>
      <c r="L361"/>
      <c r="M361"/>
      <c r="O361"/>
      <c r="P361"/>
      <c r="Q361"/>
      <c r="R361"/>
      <c r="S361"/>
      <c r="T361"/>
      <c r="U361"/>
      <c r="V361"/>
      <c r="Y361"/>
      <c r="Z361"/>
      <c r="AA361"/>
      <c r="AB361"/>
      <c r="AF361"/>
      <c r="AG361"/>
      <c r="AH361"/>
      <c r="AI361"/>
      <c r="AJ361"/>
      <c r="AK361"/>
      <c r="AN361"/>
      <c r="AO361"/>
      <c r="AP361"/>
      <c r="AQ361"/>
      <c r="AR361"/>
      <c r="AS361"/>
      <c r="AV361"/>
      <c r="AW361"/>
      <c r="AX361"/>
      <c r="AY361"/>
      <c r="AZ361"/>
      <c r="BA361"/>
      <c r="BL361"/>
      <c r="BM361"/>
      <c r="BN361"/>
      <c r="BO361"/>
      <c r="BP361"/>
      <c r="BQ361"/>
    </row>
    <row r="362" spans="4:69" x14ac:dyDescent="0.25">
      <c r="D362"/>
      <c r="E362"/>
      <c r="F362"/>
      <c r="G362"/>
      <c r="J362"/>
      <c r="K362"/>
      <c r="L362"/>
      <c r="M362"/>
      <c r="O362"/>
      <c r="P362"/>
      <c r="Q362"/>
      <c r="R362"/>
      <c r="S362"/>
      <c r="T362"/>
      <c r="U362"/>
      <c r="V362"/>
      <c r="Y362"/>
      <c r="Z362"/>
      <c r="AA362"/>
      <c r="AB362"/>
      <c r="AF362"/>
      <c r="AG362"/>
      <c r="AH362"/>
      <c r="AI362"/>
      <c r="AJ362"/>
      <c r="AK362"/>
      <c r="AN362"/>
      <c r="AO362"/>
      <c r="AP362"/>
      <c r="AQ362"/>
      <c r="AR362"/>
      <c r="AS362"/>
      <c r="AV362"/>
      <c r="AW362"/>
      <c r="AX362"/>
      <c r="AY362"/>
      <c r="AZ362"/>
      <c r="BA362"/>
      <c r="BL362"/>
      <c r="BM362"/>
      <c r="BN362"/>
      <c r="BO362"/>
      <c r="BP362"/>
      <c r="BQ362"/>
    </row>
    <row r="363" spans="4:69" x14ac:dyDescent="0.25">
      <c r="D363"/>
      <c r="E363"/>
      <c r="F363"/>
      <c r="G363"/>
      <c r="J363"/>
      <c r="K363"/>
      <c r="L363"/>
      <c r="M363"/>
      <c r="O363"/>
      <c r="P363"/>
      <c r="Q363"/>
      <c r="R363"/>
      <c r="S363"/>
      <c r="T363"/>
      <c r="U363"/>
      <c r="V363"/>
      <c r="Y363"/>
      <c r="Z363"/>
      <c r="AA363"/>
      <c r="AB363"/>
      <c r="AF363"/>
      <c r="AG363"/>
      <c r="AH363"/>
      <c r="AI363"/>
      <c r="AJ363"/>
      <c r="AK363"/>
      <c r="AN363"/>
      <c r="AO363"/>
      <c r="AP363"/>
      <c r="AQ363"/>
      <c r="AR363"/>
      <c r="AS363"/>
      <c r="AV363"/>
      <c r="AW363"/>
      <c r="AX363"/>
      <c r="AY363"/>
      <c r="AZ363"/>
      <c r="BA363"/>
      <c r="BL363"/>
      <c r="BM363"/>
      <c r="BN363"/>
      <c r="BO363"/>
      <c r="BP363"/>
      <c r="BQ363"/>
    </row>
    <row r="364" spans="4:69" x14ac:dyDescent="0.25">
      <c r="D364"/>
      <c r="E364"/>
      <c r="F364"/>
      <c r="G364"/>
      <c r="J364"/>
      <c r="K364"/>
      <c r="L364"/>
      <c r="M364"/>
      <c r="O364"/>
      <c r="P364"/>
      <c r="Q364"/>
      <c r="R364"/>
      <c r="S364"/>
      <c r="T364"/>
      <c r="U364"/>
      <c r="V364"/>
      <c r="Y364"/>
      <c r="Z364"/>
      <c r="AA364"/>
      <c r="AB364"/>
      <c r="AF364"/>
      <c r="AG364"/>
      <c r="AH364"/>
      <c r="AI364"/>
      <c r="AJ364"/>
      <c r="AK364"/>
      <c r="AN364"/>
      <c r="AO364"/>
      <c r="AP364"/>
      <c r="AQ364"/>
      <c r="AR364"/>
      <c r="AS364"/>
      <c r="AV364"/>
      <c r="AW364"/>
      <c r="AX364"/>
      <c r="AY364"/>
      <c r="AZ364"/>
      <c r="BA364"/>
      <c r="BL364"/>
      <c r="BM364"/>
      <c r="BN364"/>
      <c r="BO364"/>
      <c r="BP364"/>
      <c r="BQ364"/>
    </row>
    <row r="365" spans="4:69" x14ac:dyDescent="0.25">
      <c r="D365"/>
      <c r="E365"/>
      <c r="F365"/>
      <c r="G365"/>
      <c r="J365"/>
      <c r="K365"/>
      <c r="L365"/>
      <c r="M365"/>
      <c r="O365"/>
      <c r="P365"/>
      <c r="Q365"/>
      <c r="R365"/>
      <c r="S365"/>
      <c r="T365"/>
      <c r="U365"/>
      <c r="V365"/>
      <c r="Y365"/>
      <c r="Z365"/>
      <c r="AA365"/>
      <c r="AB365"/>
      <c r="AF365"/>
      <c r="AG365"/>
      <c r="AH365"/>
      <c r="AI365"/>
      <c r="AJ365"/>
      <c r="AK365"/>
      <c r="AN365"/>
      <c r="AO365"/>
      <c r="AP365"/>
      <c r="AQ365"/>
      <c r="AR365"/>
      <c r="AS365"/>
      <c r="AV365"/>
      <c r="AW365"/>
      <c r="AX365"/>
      <c r="AY365"/>
      <c r="AZ365"/>
      <c r="BA365"/>
      <c r="BL365"/>
      <c r="BM365"/>
      <c r="BN365"/>
      <c r="BO365"/>
      <c r="BP365"/>
      <c r="BQ365"/>
    </row>
    <row r="366" spans="4:69" x14ac:dyDescent="0.25">
      <c r="D366"/>
      <c r="E366"/>
      <c r="F366"/>
      <c r="G366"/>
      <c r="J366"/>
      <c r="K366"/>
      <c r="L366"/>
      <c r="M366"/>
      <c r="O366"/>
      <c r="P366"/>
      <c r="Q366"/>
      <c r="R366"/>
      <c r="S366"/>
      <c r="T366"/>
      <c r="U366"/>
      <c r="V366"/>
      <c r="Y366"/>
      <c r="Z366"/>
      <c r="AA366"/>
      <c r="AB366"/>
      <c r="AF366"/>
      <c r="AG366"/>
      <c r="AH366"/>
      <c r="AI366"/>
      <c r="AJ366"/>
      <c r="AK366"/>
      <c r="AN366"/>
      <c r="AO366"/>
      <c r="AP366"/>
      <c r="AQ366"/>
      <c r="AR366"/>
      <c r="AS366"/>
      <c r="AV366"/>
      <c r="AW366"/>
      <c r="AX366"/>
      <c r="AY366"/>
      <c r="AZ366"/>
      <c r="BA366"/>
      <c r="BL366"/>
      <c r="BM366"/>
      <c r="BN366"/>
      <c r="BO366"/>
      <c r="BP366"/>
      <c r="BQ366"/>
    </row>
    <row r="367" spans="4:69" x14ac:dyDescent="0.25">
      <c r="D367"/>
      <c r="E367"/>
      <c r="F367"/>
      <c r="G367"/>
      <c r="J367"/>
      <c r="K367"/>
      <c r="L367"/>
      <c r="M367"/>
      <c r="O367"/>
      <c r="P367"/>
      <c r="Q367"/>
      <c r="R367"/>
      <c r="S367"/>
      <c r="T367"/>
      <c r="U367"/>
      <c r="V367"/>
      <c r="Y367"/>
      <c r="Z367"/>
      <c r="AA367"/>
      <c r="AB367"/>
      <c r="AF367"/>
      <c r="AG367"/>
      <c r="AH367"/>
      <c r="AI367"/>
      <c r="AJ367"/>
      <c r="AK367"/>
      <c r="AN367"/>
      <c r="AO367"/>
      <c r="AP367"/>
      <c r="AQ367"/>
      <c r="AR367"/>
      <c r="AS367"/>
      <c r="AV367"/>
      <c r="AW367"/>
      <c r="AX367"/>
      <c r="AY367"/>
      <c r="AZ367"/>
      <c r="BA367"/>
      <c r="BL367"/>
      <c r="BM367"/>
      <c r="BN367"/>
      <c r="BO367"/>
      <c r="BP367"/>
      <c r="BQ367"/>
    </row>
    <row r="368" spans="4:69" x14ac:dyDescent="0.25">
      <c r="D368"/>
      <c r="E368"/>
      <c r="F368"/>
      <c r="G368"/>
      <c r="J368"/>
      <c r="K368"/>
      <c r="L368"/>
      <c r="M368"/>
      <c r="O368"/>
      <c r="P368"/>
      <c r="Q368"/>
      <c r="R368"/>
      <c r="S368"/>
      <c r="T368"/>
      <c r="U368"/>
      <c r="V368"/>
      <c r="Y368"/>
      <c r="Z368"/>
      <c r="AA368"/>
      <c r="AB368"/>
      <c r="AF368"/>
      <c r="AG368"/>
      <c r="AH368"/>
      <c r="AI368"/>
      <c r="AJ368"/>
      <c r="AK368"/>
      <c r="AN368"/>
      <c r="AO368"/>
      <c r="AP368"/>
      <c r="AQ368"/>
      <c r="AR368"/>
      <c r="AS368"/>
      <c r="AV368"/>
      <c r="AW368"/>
      <c r="AX368"/>
      <c r="AY368"/>
      <c r="AZ368"/>
      <c r="BA368"/>
      <c r="BL368"/>
      <c r="BM368"/>
      <c r="BN368"/>
      <c r="BO368"/>
      <c r="BP368"/>
      <c r="BQ368"/>
    </row>
    <row r="369" spans="4:69" x14ac:dyDescent="0.25">
      <c r="D369"/>
      <c r="E369"/>
      <c r="F369"/>
      <c r="G369"/>
      <c r="J369"/>
      <c r="K369"/>
      <c r="L369"/>
      <c r="M369"/>
      <c r="O369"/>
      <c r="P369"/>
      <c r="Q369"/>
      <c r="R369"/>
      <c r="S369"/>
      <c r="T369"/>
      <c r="U369"/>
      <c r="V369"/>
      <c r="Y369"/>
      <c r="Z369"/>
      <c r="AA369"/>
      <c r="AB369"/>
      <c r="AF369"/>
      <c r="AG369"/>
      <c r="AH369"/>
      <c r="AI369"/>
      <c r="AJ369"/>
      <c r="AK369"/>
      <c r="AN369"/>
      <c r="AO369"/>
      <c r="AP369"/>
      <c r="AQ369"/>
      <c r="AR369"/>
      <c r="AS369"/>
      <c r="AV369"/>
      <c r="AW369"/>
      <c r="AX369"/>
      <c r="AY369"/>
      <c r="AZ369"/>
      <c r="BA369"/>
      <c r="BL369"/>
      <c r="BM369"/>
      <c r="BN369"/>
      <c r="BO369"/>
      <c r="BP369"/>
      <c r="BQ369"/>
    </row>
    <row r="370" spans="4:69" x14ac:dyDescent="0.25">
      <c r="D370"/>
      <c r="E370"/>
      <c r="F370"/>
      <c r="G370"/>
      <c r="J370"/>
      <c r="K370"/>
      <c r="L370"/>
      <c r="M370"/>
      <c r="O370"/>
      <c r="P370"/>
      <c r="Q370"/>
      <c r="R370"/>
      <c r="S370"/>
      <c r="T370"/>
      <c r="U370"/>
      <c r="V370"/>
      <c r="Y370"/>
      <c r="Z370"/>
      <c r="AA370"/>
      <c r="AB370"/>
      <c r="AF370"/>
      <c r="AG370"/>
      <c r="AH370"/>
      <c r="AI370"/>
      <c r="AJ370"/>
      <c r="AK370"/>
      <c r="AN370"/>
      <c r="AO370"/>
      <c r="AP370"/>
      <c r="AQ370"/>
      <c r="AR370"/>
      <c r="AS370"/>
      <c r="AV370"/>
      <c r="AW370"/>
      <c r="AX370"/>
      <c r="AY370"/>
      <c r="AZ370"/>
      <c r="BA370"/>
      <c r="BL370"/>
      <c r="BM370"/>
      <c r="BN370"/>
      <c r="BO370"/>
      <c r="BP370"/>
      <c r="BQ370"/>
    </row>
    <row r="371" spans="4:69" x14ac:dyDescent="0.25">
      <c r="D371"/>
      <c r="E371"/>
      <c r="F371"/>
      <c r="G371"/>
      <c r="J371"/>
      <c r="K371"/>
      <c r="L371"/>
      <c r="M371"/>
      <c r="O371"/>
      <c r="P371"/>
      <c r="Q371"/>
      <c r="R371"/>
      <c r="S371"/>
      <c r="T371"/>
      <c r="U371"/>
      <c r="V371"/>
      <c r="Y371"/>
      <c r="Z371"/>
      <c r="AA371"/>
      <c r="AB371"/>
      <c r="AF371"/>
      <c r="AG371"/>
      <c r="AH371"/>
      <c r="AI371"/>
      <c r="AJ371"/>
      <c r="AK371"/>
      <c r="AN371"/>
      <c r="AO371"/>
      <c r="AP371"/>
      <c r="AQ371"/>
      <c r="AR371"/>
      <c r="AS371"/>
      <c r="AV371"/>
      <c r="AW371"/>
      <c r="AX371"/>
      <c r="AY371"/>
      <c r="AZ371"/>
      <c r="BA371"/>
      <c r="BL371"/>
      <c r="BM371"/>
      <c r="BN371"/>
      <c r="BO371"/>
      <c r="BP371"/>
      <c r="BQ371"/>
    </row>
    <row r="372" spans="4:69" x14ac:dyDescent="0.25">
      <c r="D372"/>
      <c r="E372"/>
      <c r="F372"/>
      <c r="G372"/>
      <c r="J372"/>
      <c r="K372"/>
      <c r="L372"/>
      <c r="M372"/>
      <c r="O372"/>
      <c r="P372"/>
      <c r="Q372"/>
      <c r="R372"/>
      <c r="S372"/>
      <c r="T372"/>
      <c r="U372"/>
      <c r="V372"/>
      <c r="Y372"/>
      <c r="Z372"/>
      <c r="AA372"/>
      <c r="AB372"/>
      <c r="AF372"/>
      <c r="AG372"/>
      <c r="AH372"/>
      <c r="AI372"/>
      <c r="AJ372"/>
      <c r="AK372"/>
      <c r="AN372"/>
      <c r="AO372"/>
      <c r="AP372"/>
      <c r="AQ372"/>
      <c r="AR372"/>
      <c r="AS372"/>
      <c r="AV372"/>
      <c r="AW372"/>
      <c r="AX372"/>
      <c r="AY372"/>
      <c r="AZ372"/>
      <c r="BA372"/>
      <c r="BL372"/>
      <c r="BM372"/>
      <c r="BN372"/>
      <c r="BO372"/>
      <c r="BP372"/>
      <c r="BQ372"/>
    </row>
    <row r="373" spans="4:69" x14ac:dyDescent="0.25">
      <c r="D373"/>
      <c r="E373"/>
      <c r="F373"/>
      <c r="G373"/>
      <c r="J373"/>
      <c r="K373"/>
      <c r="L373"/>
      <c r="M373"/>
      <c r="O373"/>
      <c r="P373"/>
      <c r="Q373"/>
      <c r="R373"/>
      <c r="S373"/>
      <c r="T373"/>
      <c r="U373"/>
      <c r="V373"/>
      <c r="Y373"/>
      <c r="Z373"/>
      <c r="AA373"/>
      <c r="AB373"/>
      <c r="AF373"/>
      <c r="AG373"/>
      <c r="AH373"/>
      <c r="AI373"/>
      <c r="AJ373"/>
      <c r="AK373"/>
      <c r="AN373"/>
      <c r="AO373"/>
      <c r="AP373"/>
      <c r="AQ373"/>
      <c r="AR373"/>
      <c r="AS373"/>
      <c r="AV373"/>
      <c r="AW373"/>
      <c r="AX373"/>
      <c r="AY373"/>
      <c r="AZ373"/>
      <c r="BA373"/>
      <c r="BL373"/>
      <c r="BM373"/>
      <c r="BN373"/>
      <c r="BO373"/>
      <c r="BP373"/>
      <c r="BQ373"/>
    </row>
    <row r="374" spans="4:69" x14ac:dyDescent="0.25">
      <c r="D374"/>
      <c r="E374"/>
      <c r="F374"/>
      <c r="G374"/>
      <c r="J374"/>
      <c r="K374"/>
      <c r="L374"/>
      <c r="M374"/>
      <c r="O374"/>
      <c r="P374"/>
      <c r="Q374"/>
      <c r="R374"/>
      <c r="S374"/>
      <c r="T374"/>
      <c r="U374"/>
      <c r="V374"/>
      <c r="Y374"/>
      <c r="Z374"/>
      <c r="AA374"/>
      <c r="AB374"/>
      <c r="AF374"/>
      <c r="AG374"/>
      <c r="AH374"/>
      <c r="AI374"/>
      <c r="AJ374"/>
      <c r="AK374"/>
      <c r="AN374"/>
      <c r="AO374"/>
      <c r="AP374"/>
      <c r="AQ374"/>
      <c r="AR374"/>
      <c r="AS374"/>
      <c r="AV374"/>
      <c r="AW374"/>
      <c r="AX374"/>
      <c r="AY374"/>
      <c r="AZ374"/>
      <c r="BA374"/>
      <c r="BL374"/>
      <c r="BM374"/>
      <c r="BN374"/>
      <c r="BO374"/>
      <c r="BP374"/>
      <c r="BQ374"/>
    </row>
    <row r="375" spans="4:69" x14ac:dyDescent="0.25">
      <c r="D375"/>
      <c r="E375"/>
      <c r="F375"/>
      <c r="G375"/>
      <c r="J375"/>
      <c r="K375"/>
      <c r="L375"/>
      <c r="M375"/>
      <c r="O375"/>
      <c r="P375"/>
      <c r="Q375"/>
      <c r="R375"/>
      <c r="S375"/>
      <c r="T375"/>
      <c r="U375"/>
      <c r="V375"/>
      <c r="Y375"/>
      <c r="Z375"/>
      <c r="AA375"/>
      <c r="AB375"/>
      <c r="AF375"/>
      <c r="AG375"/>
      <c r="AH375"/>
      <c r="AI375"/>
      <c r="AJ375"/>
      <c r="AK375"/>
      <c r="AN375"/>
      <c r="AO375"/>
      <c r="AP375"/>
      <c r="AQ375"/>
      <c r="AR375"/>
      <c r="AS375"/>
      <c r="AV375"/>
      <c r="AW375"/>
      <c r="AX375"/>
      <c r="AY375"/>
      <c r="AZ375"/>
      <c r="BA375"/>
      <c r="BL375"/>
      <c r="BM375"/>
      <c r="BN375"/>
      <c r="BO375"/>
      <c r="BP375"/>
      <c r="BQ375"/>
    </row>
    <row r="376" spans="4:69" x14ac:dyDescent="0.25">
      <c r="D376"/>
      <c r="E376"/>
      <c r="F376"/>
      <c r="G376"/>
      <c r="J376"/>
      <c r="K376"/>
      <c r="L376"/>
      <c r="M376"/>
      <c r="O376"/>
      <c r="P376"/>
      <c r="Q376"/>
      <c r="R376"/>
      <c r="S376"/>
      <c r="T376"/>
      <c r="U376"/>
      <c r="V376"/>
      <c r="Y376"/>
      <c r="Z376"/>
      <c r="AA376"/>
      <c r="AB376"/>
      <c r="AF376"/>
      <c r="AG376"/>
      <c r="AH376"/>
      <c r="AI376"/>
      <c r="AJ376"/>
      <c r="AK376"/>
      <c r="AN376"/>
      <c r="AO376"/>
      <c r="AP376"/>
      <c r="AQ376"/>
      <c r="AR376"/>
      <c r="AS376"/>
      <c r="AV376"/>
      <c r="AW376"/>
      <c r="AX376"/>
      <c r="AY376"/>
      <c r="AZ376"/>
      <c r="BA376"/>
      <c r="BL376"/>
      <c r="BM376"/>
      <c r="BN376"/>
      <c r="BO376"/>
      <c r="BP376"/>
      <c r="BQ376"/>
    </row>
    <row r="377" spans="4:69" x14ac:dyDescent="0.25">
      <c r="D377"/>
      <c r="E377"/>
      <c r="F377"/>
      <c r="G377"/>
      <c r="J377"/>
      <c r="K377"/>
      <c r="L377"/>
      <c r="M377"/>
      <c r="O377"/>
      <c r="P377"/>
      <c r="Q377"/>
      <c r="R377"/>
      <c r="S377"/>
      <c r="T377"/>
      <c r="U377"/>
      <c r="V377"/>
      <c r="Y377"/>
      <c r="Z377"/>
      <c r="AA377"/>
      <c r="AB377"/>
      <c r="AF377"/>
      <c r="AG377"/>
      <c r="AH377"/>
      <c r="AI377"/>
      <c r="AJ377"/>
      <c r="AK377"/>
      <c r="AN377"/>
      <c r="AO377"/>
      <c r="AP377"/>
      <c r="AQ377"/>
      <c r="AR377"/>
      <c r="AS377"/>
      <c r="AV377"/>
      <c r="AW377"/>
      <c r="AX377"/>
      <c r="AY377"/>
      <c r="AZ377"/>
      <c r="BA377"/>
      <c r="BL377"/>
      <c r="BM377"/>
      <c r="BN377"/>
      <c r="BO377"/>
      <c r="BP377"/>
      <c r="BQ377"/>
    </row>
    <row r="378" spans="4:69" x14ac:dyDescent="0.25">
      <c r="D378"/>
      <c r="E378"/>
      <c r="F378"/>
      <c r="G378"/>
      <c r="J378"/>
      <c r="K378"/>
      <c r="L378"/>
      <c r="M378"/>
      <c r="O378"/>
      <c r="P378"/>
      <c r="Q378"/>
      <c r="R378"/>
      <c r="S378"/>
      <c r="T378"/>
      <c r="U378"/>
      <c r="V378"/>
      <c r="Y378"/>
      <c r="Z378"/>
      <c r="AA378"/>
      <c r="AB378"/>
      <c r="AF378"/>
      <c r="AG378"/>
      <c r="AH378"/>
      <c r="AI378"/>
      <c r="AJ378"/>
      <c r="AK378"/>
      <c r="AN378"/>
      <c r="AO378"/>
      <c r="AP378"/>
      <c r="AQ378"/>
      <c r="AR378"/>
      <c r="AS378"/>
      <c r="AV378"/>
      <c r="AW378"/>
      <c r="AX378"/>
      <c r="AY378"/>
      <c r="AZ378"/>
      <c r="BA378"/>
      <c r="BL378"/>
      <c r="BM378"/>
      <c r="BN378"/>
      <c r="BO378"/>
      <c r="BP378"/>
      <c r="BQ378"/>
    </row>
    <row r="379" spans="4:69" x14ac:dyDescent="0.25">
      <c r="D379"/>
      <c r="E379"/>
      <c r="F379"/>
      <c r="G379"/>
      <c r="J379"/>
      <c r="K379"/>
      <c r="L379"/>
      <c r="M379"/>
      <c r="O379"/>
      <c r="P379"/>
      <c r="Q379"/>
      <c r="R379"/>
      <c r="S379"/>
      <c r="T379"/>
      <c r="U379"/>
      <c r="V379"/>
      <c r="Y379"/>
      <c r="Z379"/>
      <c r="AA379"/>
      <c r="AB379"/>
      <c r="AF379"/>
      <c r="AG379"/>
      <c r="AH379"/>
      <c r="AI379"/>
      <c r="AJ379"/>
      <c r="AK379"/>
      <c r="AN379"/>
      <c r="AO379"/>
      <c r="AP379"/>
      <c r="AQ379"/>
      <c r="AR379"/>
      <c r="AS379"/>
      <c r="AV379"/>
      <c r="AW379"/>
      <c r="AX379"/>
      <c r="AY379"/>
      <c r="AZ379"/>
      <c r="BA379"/>
      <c r="BL379"/>
      <c r="BM379"/>
      <c r="BN379"/>
      <c r="BO379"/>
      <c r="BP379"/>
      <c r="BQ379"/>
    </row>
    <row r="380" spans="4:69" x14ac:dyDescent="0.25">
      <c r="D380"/>
      <c r="E380"/>
      <c r="F380"/>
      <c r="G380"/>
      <c r="J380"/>
      <c r="K380"/>
      <c r="L380"/>
      <c r="M380"/>
      <c r="O380"/>
      <c r="P380"/>
      <c r="Q380"/>
      <c r="R380"/>
      <c r="S380"/>
      <c r="T380"/>
      <c r="U380"/>
      <c r="V380"/>
      <c r="Y380"/>
      <c r="Z380"/>
      <c r="AA380"/>
      <c r="AB380"/>
      <c r="AF380"/>
      <c r="AG380"/>
      <c r="AH380"/>
      <c r="AI380"/>
      <c r="AJ380"/>
      <c r="AK380"/>
      <c r="AN380"/>
      <c r="AO380"/>
      <c r="AP380"/>
      <c r="AQ380"/>
      <c r="AR380"/>
      <c r="AS380"/>
      <c r="AV380"/>
      <c r="AW380"/>
      <c r="AX380"/>
      <c r="AY380"/>
      <c r="AZ380"/>
      <c r="BA380"/>
      <c r="BL380"/>
      <c r="BM380"/>
      <c r="BN380"/>
      <c r="BO380"/>
      <c r="BP380"/>
      <c r="BQ380"/>
    </row>
    <row r="381" spans="4:69" x14ac:dyDescent="0.25">
      <c r="D381"/>
      <c r="E381"/>
      <c r="F381"/>
      <c r="G381"/>
      <c r="J381"/>
      <c r="K381"/>
      <c r="L381"/>
      <c r="M381"/>
      <c r="O381"/>
      <c r="P381"/>
      <c r="Q381"/>
      <c r="R381"/>
      <c r="S381"/>
      <c r="T381"/>
      <c r="U381"/>
      <c r="V381"/>
      <c r="Y381"/>
      <c r="Z381"/>
      <c r="AA381"/>
      <c r="AB381"/>
      <c r="AF381"/>
      <c r="AG381"/>
      <c r="AH381"/>
      <c r="AI381"/>
      <c r="AJ381"/>
      <c r="AK381"/>
      <c r="AN381"/>
      <c r="AO381"/>
      <c r="AP381"/>
      <c r="AQ381"/>
      <c r="AR381"/>
      <c r="AS381"/>
      <c r="AV381"/>
      <c r="AW381"/>
      <c r="AX381"/>
      <c r="AY381"/>
      <c r="AZ381"/>
      <c r="BA381"/>
      <c r="BL381"/>
      <c r="BM381"/>
      <c r="BN381"/>
      <c r="BO381"/>
      <c r="BP381"/>
      <c r="BQ381"/>
    </row>
    <row r="382" spans="4:69" x14ac:dyDescent="0.25">
      <c r="D382"/>
      <c r="E382"/>
      <c r="F382"/>
      <c r="G382"/>
      <c r="J382"/>
      <c r="K382"/>
      <c r="L382"/>
      <c r="M382"/>
      <c r="O382"/>
      <c r="P382"/>
      <c r="Q382"/>
      <c r="R382"/>
      <c r="S382"/>
      <c r="T382"/>
      <c r="U382"/>
      <c r="V382"/>
      <c r="Y382"/>
      <c r="Z382"/>
      <c r="AA382"/>
      <c r="AB382"/>
      <c r="AF382"/>
      <c r="AG382"/>
      <c r="AH382"/>
      <c r="AI382"/>
      <c r="AJ382"/>
      <c r="AK382"/>
      <c r="AN382"/>
      <c r="AO382"/>
      <c r="AP382"/>
      <c r="AQ382"/>
      <c r="AR382"/>
      <c r="AS382"/>
      <c r="AV382"/>
      <c r="AW382"/>
      <c r="AX382"/>
      <c r="AY382"/>
      <c r="AZ382"/>
      <c r="BA382"/>
      <c r="BL382"/>
      <c r="BM382"/>
      <c r="BN382"/>
      <c r="BO382"/>
      <c r="BP382"/>
      <c r="BQ382"/>
    </row>
    <row r="383" spans="4:69" x14ac:dyDescent="0.25">
      <c r="D383"/>
      <c r="E383"/>
      <c r="F383"/>
      <c r="G383"/>
      <c r="J383"/>
      <c r="K383"/>
      <c r="L383"/>
      <c r="M383"/>
      <c r="O383"/>
      <c r="P383"/>
      <c r="Q383"/>
      <c r="R383"/>
      <c r="S383"/>
      <c r="T383"/>
      <c r="U383"/>
      <c r="V383"/>
      <c r="Y383"/>
      <c r="Z383"/>
      <c r="AA383"/>
      <c r="AB383"/>
      <c r="AF383"/>
      <c r="AG383"/>
      <c r="AH383"/>
      <c r="AI383"/>
      <c r="AJ383"/>
      <c r="AK383"/>
      <c r="AN383"/>
      <c r="AO383"/>
      <c r="AP383"/>
      <c r="AQ383"/>
      <c r="AR383"/>
      <c r="AS383"/>
      <c r="AV383"/>
      <c r="AW383"/>
      <c r="AX383"/>
      <c r="AY383"/>
      <c r="AZ383"/>
      <c r="BA383"/>
      <c r="BL383"/>
      <c r="BM383"/>
      <c r="BN383"/>
      <c r="BO383"/>
      <c r="BP383"/>
      <c r="BQ383"/>
    </row>
    <row r="384" spans="4:69" x14ac:dyDescent="0.25">
      <c r="D384"/>
      <c r="E384"/>
      <c r="F384"/>
      <c r="G384"/>
      <c r="J384"/>
      <c r="K384"/>
      <c r="L384"/>
      <c r="M384"/>
      <c r="O384"/>
      <c r="P384"/>
      <c r="Q384"/>
      <c r="R384"/>
      <c r="S384"/>
      <c r="T384"/>
      <c r="U384"/>
      <c r="V384"/>
      <c r="Y384"/>
      <c r="Z384"/>
      <c r="AA384"/>
      <c r="AB384"/>
      <c r="AF384"/>
      <c r="AG384"/>
      <c r="AH384"/>
      <c r="AI384"/>
      <c r="AJ384"/>
      <c r="AK384"/>
      <c r="AN384"/>
      <c r="AO384"/>
      <c r="AP384"/>
      <c r="AQ384"/>
      <c r="AR384"/>
      <c r="AS384"/>
      <c r="AV384"/>
      <c r="AW384"/>
      <c r="AX384"/>
      <c r="AY384"/>
      <c r="AZ384"/>
      <c r="BA384"/>
      <c r="BL384"/>
      <c r="BM384"/>
      <c r="BN384"/>
      <c r="BO384"/>
      <c r="BP384"/>
      <c r="BQ384"/>
    </row>
    <row r="385" spans="4:69" x14ac:dyDescent="0.25">
      <c r="D385"/>
      <c r="E385"/>
      <c r="F385"/>
      <c r="G385"/>
      <c r="J385"/>
      <c r="K385"/>
      <c r="L385"/>
      <c r="M385"/>
      <c r="O385"/>
      <c r="P385"/>
      <c r="Q385"/>
      <c r="R385"/>
      <c r="S385"/>
      <c r="T385"/>
      <c r="U385"/>
      <c r="V385"/>
      <c r="Y385"/>
      <c r="Z385"/>
      <c r="AA385"/>
      <c r="AB385"/>
      <c r="AF385"/>
      <c r="AG385"/>
      <c r="AH385"/>
      <c r="AI385"/>
      <c r="AJ385"/>
      <c r="AK385"/>
      <c r="AN385"/>
      <c r="AO385"/>
      <c r="AP385"/>
      <c r="AQ385"/>
      <c r="AR385"/>
      <c r="AS385"/>
      <c r="AV385"/>
      <c r="AW385"/>
      <c r="AX385"/>
      <c r="AY385"/>
      <c r="AZ385"/>
      <c r="BA385"/>
      <c r="BL385"/>
      <c r="BM385"/>
      <c r="BN385"/>
      <c r="BO385"/>
      <c r="BP385"/>
      <c r="BQ385"/>
    </row>
    <row r="386" spans="4:69" x14ac:dyDescent="0.25">
      <c r="D386"/>
      <c r="E386"/>
      <c r="F386"/>
      <c r="G386"/>
      <c r="J386"/>
      <c r="K386"/>
      <c r="L386"/>
      <c r="M386"/>
      <c r="O386"/>
      <c r="P386"/>
      <c r="Q386"/>
      <c r="R386"/>
      <c r="S386"/>
      <c r="T386"/>
      <c r="U386"/>
      <c r="V386"/>
      <c r="Y386"/>
      <c r="Z386"/>
      <c r="AA386"/>
      <c r="AB386"/>
      <c r="AF386"/>
      <c r="AG386"/>
      <c r="AH386"/>
      <c r="AI386"/>
      <c r="AJ386"/>
      <c r="AK386"/>
      <c r="AN386"/>
      <c r="AO386"/>
      <c r="AP386"/>
      <c r="AQ386"/>
      <c r="AR386"/>
      <c r="AS386"/>
      <c r="AV386"/>
      <c r="AW386"/>
      <c r="AX386"/>
      <c r="AY386"/>
      <c r="AZ386"/>
      <c r="BA386"/>
      <c r="BL386"/>
      <c r="BM386"/>
      <c r="BN386"/>
      <c r="BO386"/>
      <c r="BP386"/>
      <c r="BQ386"/>
    </row>
    <row r="387" spans="4:69" x14ac:dyDescent="0.25">
      <c r="D387"/>
      <c r="E387"/>
      <c r="F387"/>
      <c r="G387"/>
      <c r="J387"/>
      <c r="K387"/>
      <c r="L387"/>
      <c r="M387"/>
      <c r="O387"/>
      <c r="P387"/>
      <c r="Q387"/>
      <c r="R387"/>
      <c r="S387"/>
      <c r="T387"/>
      <c r="U387"/>
      <c r="V387"/>
      <c r="Y387"/>
      <c r="Z387"/>
      <c r="AA387"/>
      <c r="AB387"/>
      <c r="AF387"/>
      <c r="AG387"/>
      <c r="AH387"/>
      <c r="AI387"/>
      <c r="AJ387"/>
      <c r="AK387"/>
      <c r="AN387"/>
      <c r="AO387"/>
      <c r="AP387"/>
      <c r="AQ387"/>
      <c r="AR387"/>
      <c r="AS387"/>
      <c r="AV387"/>
      <c r="AW387"/>
      <c r="AX387"/>
      <c r="AY387"/>
      <c r="AZ387"/>
      <c r="BA387"/>
      <c r="BL387"/>
      <c r="BM387"/>
      <c r="BN387"/>
      <c r="BO387"/>
      <c r="BP387"/>
      <c r="BQ387"/>
    </row>
    <row r="388" spans="4:69" x14ac:dyDescent="0.25">
      <c r="D388"/>
      <c r="E388"/>
      <c r="F388"/>
      <c r="G388"/>
      <c r="J388"/>
      <c r="K388"/>
      <c r="L388"/>
      <c r="M388"/>
      <c r="O388"/>
      <c r="P388"/>
      <c r="Q388"/>
      <c r="R388"/>
      <c r="S388"/>
      <c r="T388"/>
      <c r="U388"/>
      <c r="V388"/>
      <c r="Y388"/>
      <c r="Z388"/>
      <c r="AA388"/>
      <c r="AB388"/>
      <c r="AF388"/>
      <c r="AG388"/>
      <c r="AH388"/>
      <c r="AI388"/>
      <c r="AJ388"/>
      <c r="AK388"/>
      <c r="AN388"/>
      <c r="AO388"/>
      <c r="AP388"/>
      <c r="AQ388"/>
      <c r="AR388"/>
      <c r="AS388"/>
      <c r="AV388"/>
      <c r="AW388"/>
      <c r="AX388"/>
      <c r="AY388"/>
      <c r="AZ388"/>
      <c r="BA388"/>
      <c r="BL388"/>
      <c r="BM388"/>
      <c r="BN388"/>
      <c r="BO388"/>
      <c r="BP388"/>
      <c r="BQ388"/>
    </row>
    <row r="389" spans="4:69" x14ac:dyDescent="0.25">
      <c r="D389"/>
      <c r="E389"/>
      <c r="F389"/>
      <c r="G389"/>
      <c r="J389"/>
      <c r="K389"/>
      <c r="L389"/>
      <c r="M389"/>
      <c r="O389"/>
      <c r="P389"/>
      <c r="Q389"/>
      <c r="R389"/>
      <c r="S389"/>
      <c r="T389"/>
      <c r="U389"/>
      <c r="V389"/>
      <c r="Y389"/>
      <c r="Z389"/>
      <c r="AA389"/>
      <c r="AB389"/>
      <c r="AF389"/>
      <c r="AG389"/>
      <c r="AH389"/>
      <c r="AI389"/>
      <c r="AJ389"/>
      <c r="AK389"/>
      <c r="AN389"/>
      <c r="AO389"/>
      <c r="AP389"/>
      <c r="AQ389"/>
      <c r="AR389"/>
      <c r="AS389"/>
      <c r="AV389"/>
      <c r="AW389"/>
      <c r="AX389"/>
      <c r="AY389"/>
      <c r="AZ389"/>
      <c r="BA389"/>
      <c r="BL389"/>
      <c r="BM389"/>
      <c r="BN389"/>
      <c r="BO389"/>
      <c r="BP389"/>
      <c r="BQ389"/>
    </row>
    <row r="390" spans="4:69" x14ac:dyDescent="0.25">
      <c r="D390"/>
      <c r="E390"/>
      <c r="F390"/>
      <c r="G390"/>
      <c r="J390"/>
      <c r="K390"/>
      <c r="L390"/>
      <c r="M390"/>
      <c r="O390"/>
      <c r="P390"/>
      <c r="Q390"/>
      <c r="R390"/>
      <c r="S390"/>
      <c r="T390"/>
      <c r="U390"/>
      <c r="V390"/>
      <c r="Y390"/>
      <c r="Z390"/>
      <c r="AA390"/>
      <c r="AB390"/>
      <c r="AF390"/>
      <c r="AG390"/>
      <c r="AH390"/>
      <c r="AI390"/>
      <c r="AJ390"/>
      <c r="AK390"/>
      <c r="AN390"/>
      <c r="AO390"/>
      <c r="AP390"/>
      <c r="AQ390"/>
      <c r="AR390"/>
      <c r="AS390"/>
      <c r="AV390"/>
      <c r="AW390"/>
      <c r="AX390"/>
      <c r="AY390"/>
      <c r="AZ390"/>
      <c r="BA390"/>
      <c r="BL390"/>
      <c r="BM390"/>
      <c r="BN390"/>
      <c r="BO390"/>
      <c r="BP390"/>
      <c r="BQ390"/>
    </row>
    <row r="391" spans="4:69" x14ac:dyDescent="0.25">
      <c r="D391"/>
      <c r="E391"/>
      <c r="F391"/>
      <c r="G391"/>
      <c r="J391"/>
      <c r="K391"/>
      <c r="L391"/>
      <c r="M391"/>
      <c r="O391"/>
      <c r="P391"/>
      <c r="Q391"/>
      <c r="R391"/>
      <c r="S391"/>
      <c r="T391"/>
      <c r="U391"/>
      <c r="V391"/>
      <c r="Y391"/>
      <c r="Z391"/>
      <c r="AA391"/>
      <c r="AB391"/>
      <c r="AF391"/>
      <c r="AG391"/>
      <c r="AH391"/>
      <c r="AI391"/>
      <c r="AJ391"/>
      <c r="AK391"/>
      <c r="AN391"/>
      <c r="AO391"/>
      <c r="AP391"/>
      <c r="AQ391"/>
      <c r="AR391"/>
      <c r="AS391"/>
      <c r="AV391"/>
      <c r="AW391"/>
      <c r="AX391"/>
      <c r="AY391"/>
      <c r="AZ391"/>
      <c r="BA391"/>
      <c r="BL391"/>
      <c r="BM391"/>
      <c r="BN391"/>
      <c r="BO391"/>
      <c r="BP391"/>
      <c r="BQ391"/>
    </row>
    <row r="392" spans="4:69" x14ac:dyDescent="0.25">
      <c r="D392"/>
      <c r="E392"/>
      <c r="F392"/>
      <c r="G392"/>
      <c r="J392"/>
      <c r="K392"/>
      <c r="L392"/>
      <c r="M392"/>
      <c r="O392"/>
      <c r="P392"/>
      <c r="Q392"/>
      <c r="R392"/>
      <c r="S392"/>
      <c r="T392"/>
      <c r="U392"/>
      <c r="V392"/>
      <c r="Y392"/>
      <c r="Z392"/>
      <c r="AA392"/>
      <c r="AB392"/>
      <c r="AF392"/>
      <c r="AG392"/>
      <c r="AH392"/>
      <c r="AI392"/>
      <c r="AJ392"/>
      <c r="AK392"/>
      <c r="AN392"/>
      <c r="AO392"/>
      <c r="AP392"/>
      <c r="AQ392"/>
      <c r="AR392"/>
      <c r="AS392"/>
      <c r="AV392"/>
      <c r="AW392"/>
      <c r="AX392"/>
      <c r="AY392"/>
      <c r="AZ392"/>
      <c r="BA392"/>
      <c r="BL392"/>
      <c r="BM392"/>
      <c r="BN392"/>
      <c r="BO392"/>
      <c r="BP392"/>
      <c r="BQ392"/>
    </row>
    <row r="393" spans="4:69" x14ac:dyDescent="0.25">
      <c r="D393"/>
      <c r="E393"/>
      <c r="F393"/>
      <c r="G393"/>
      <c r="J393"/>
      <c r="K393"/>
      <c r="L393"/>
      <c r="M393"/>
      <c r="O393"/>
      <c r="P393"/>
      <c r="Q393"/>
      <c r="R393"/>
      <c r="S393"/>
      <c r="T393"/>
      <c r="U393"/>
      <c r="V393"/>
      <c r="Y393"/>
      <c r="Z393"/>
      <c r="AA393"/>
      <c r="AB393"/>
      <c r="AF393"/>
      <c r="AG393"/>
      <c r="AH393"/>
      <c r="AI393"/>
      <c r="AJ393"/>
      <c r="AK393"/>
      <c r="AN393"/>
      <c r="AO393"/>
      <c r="AP393"/>
      <c r="AQ393"/>
      <c r="AR393"/>
      <c r="AS393"/>
      <c r="AV393"/>
      <c r="AW393"/>
      <c r="AX393"/>
      <c r="AY393"/>
      <c r="AZ393"/>
      <c r="BA393"/>
      <c r="BL393"/>
      <c r="BM393"/>
      <c r="BN393"/>
      <c r="BO393"/>
      <c r="BP393"/>
      <c r="BQ393"/>
    </row>
    <row r="394" spans="4:69" x14ac:dyDescent="0.25">
      <c r="D394"/>
      <c r="E394"/>
      <c r="F394"/>
      <c r="G394"/>
      <c r="J394"/>
      <c r="K394"/>
      <c r="L394"/>
      <c r="M394"/>
      <c r="O394"/>
      <c r="P394"/>
      <c r="Q394"/>
      <c r="R394"/>
      <c r="S394"/>
      <c r="T394"/>
      <c r="U394"/>
      <c r="V394"/>
      <c r="Y394"/>
      <c r="Z394"/>
      <c r="AA394"/>
      <c r="AB394"/>
      <c r="AF394"/>
      <c r="AG394"/>
      <c r="AH394"/>
      <c r="AI394"/>
      <c r="AJ394"/>
      <c r="AK394"/>
      <c r="AN394"/>
      <c r="AO394"/>
      <c r="AP394"/>
      <c r="AQ394"/>
      <c r="AR394"/>
      <c r="AS394"/>
      <c r="AV394"/>
      <c r="AW394"/>
      <c r="AX394"/>
      <c r="AY394"/>
      <c r="AZ394"/>
      <c r="BA394"/>
      <c r="BL394"/>
      <c r="BM394"/>
      <c r="BN394"/>
      <c r="BO394"/>
      <c r="BP394"/>
      <c r="BQ394"/>
    </row>
    <row r="395" spans="4:69" x14ac:dyDescent="0.25">
      <c r="D395"/>
      <c r="E395"/>
      <c r="F395"/>
      <c r="G395"/>
      <c r="J395"/>
      <c r="K395"/>
      <c r="L395"/>
      <c r="M395"/>
      <c r="O395"/>
      <c r="P395"/>
      <c r="Q395"/>
      <c r="R395"/>
      <c r="S395"/>
      <c r="T395"/>
      <c r="U395"/>
      <c r="V395"/>
      <c r="Y395"/>
      <c r="Z395"/>
      <c r="AA395"/>
      <c r="AB395"/>
      <c r="AF395"/>
      <c r="AG395"/>
      <c r="AH395"/>
      <c r="AI395"/>
      <c r="AJ395"/>
      <c r="AK395"/>
      <c r="AN395"/>
      <c r="AO395"/>
      <c r="AP395"/>
      <c r="AQ395"/>
      <c r="AR395"/>
      <c r="AS395"/>
      <c r="AV395"/>
      <c r="AW395"/>
      <c r="AX395"/>
      <c r="AY395"/>
      <c r="AZ395"/>
      <c r="BA395"/>
      <c r="BL395"/>
      <c r="BM395"/>
      <c r="BN395"/>
      <c r="BO395"/>
      <c r="BP395"/>
      <c r="BQ395"/>
    </row>
    <row r="396" spans="4:69" x14ac:dyDescent="0.25">
      <c r="D396"/>
      <c r="E396"/>
      <c r="F396"/>
      <c r="G396"/>
      <c r="J396"/>
      <c r="K396"/>
      <c r="L396"/>
      <c r="M396"/>
      <c r="O396"/>
      <c r="P396"/>
      <c r="Q396"/>
      <c r="R396"/>
      <c r="S396"/>
      <c r="T396"/>
      <c r="U396"/>
      <c r="V396"/>
      <c r="Y396"/>
      <c r="Z396"/>
      <c r="AA396"/>
      <c r="AB396"/>
      <c r="AF396"/>
      <c r="AG396"/>
      <c r="AH396"/>
      <c r="AI396"/>
      <c r="AJ396"/>
      <c r="AK396"/>
      <c r="AN396"/>
      <c r="AO396"/>
      <c r="AP396"/>
      <c r="AQ396"/>
      <c r="AR396"/>
      <c r="AS396"/>
      <c r="AV396"/>
      <c r="AW396"/>
      <c r="AX396"/>
      <c r="AY396"/>
      <c r="AZ396"/>
      <c r="BA396"/>
      <c r="BL396"/>
      <c r="BM396"/>
      <c r="BN396"/>
      <c r="BO396"/>
      <c r="BP396"/>
      <c r="BQ396"/>
    </row>
    <row r="397" spans="4:69" x14ac:dyDescent="0.25">
      <c r="D397"/>
      <c r="E397"/>
      <c r="F397"/>
      <c r="G397"/>
      <c r="J397"/>
      <c r="K397"/>
      <c r="L397"/>
      <c r="M397"/>
      <c r="O397"/>
      <c r="P397"/>
      <c r="Q397"/>
      <c r="R397"/>
      <c r="S397"/>
      <c r="T397"/>
      <c r="U397"/>
      <c r="V397"/>
      <c r="Y397"/>
      <c r="Z397"/>
      <c r="AA397"/>
      <c r="AB397"/>
      <c r="AF397"/>
      <c r="AG397"/>
      <c r="AH397"/>
      <c r="AI397"/>
      <c r="AJ397"/>
      <c r="AK397"/>
      <c r="AN397"/>
      <c r="AO397"/>
      <c r="AP397"/>
      <c r="AQ397"/>
      <c r="AR397"/>
      <c r="AS397"/>
      <c r="AV397"/>
      <c r="AW397"/>
      <c r="AX397"/>
      <c r="AY397"/>
      <c r="AZ397"/>
      <c r="BA397"/>
      <c r="BL397"/>
      <c r="BM397"/>
      <c r="BN397"/>
      <c r="BO397"/>
      <c r="BP397"/>
      <c r="BQ397"/>
    </row>
    <row r="398" spans="4:69" x14ac:dyDescent="0.25">
      <c r="D398"/>
      <c r="E398"/>
      <c r="F398"/>
      <c r="G398"/>
      <c r="J398"/>
      <c r="K398"/>
      <c r="L398"/>
      <c r="M398"/>
      <c r="O398"/>
      <c r="P398"/>
      <c r="Q398"/>
      <c r="R398"/>
      <c r="S398"/>
      <c r="T398"/>
      <c r="U398"/>
      <c r="V398"/>
      <c r="Y398"/>
      <c r="Z398"/>
      <c r="AA398"/>
      <c r="AB398"/>
      <c r="AF398"/>
      <c r="AG398"/>
      <c r="AH398"/>
      <c r="AI398"/>
      <c r="AJ398"/>
      <c r="AK398"/>
      <c r="AN398"/>
      <c r="AO398"/>
      <c r="AP398"/>
      <c r="AQ398"/>
      <c r="AR398"/>
      <c r="AS398"/>
      <c r="AV398"/>
      <c r="AW398"/>
      <c r="AX398"/>
      <c r="AY398"/>
      <c r="AZ398"/>
      <c r="BA398"/>
      <c r="BL398"/>
      <c r="BM398"/>
      <c r="BN398"/>
      <c r="BO398"/>
      <c r="BP398"/>
      <c r="BQ398"/>
    </row>
    <row r="399" spans="4:69" x14ac:dyDescent="0.25">
      <c r="D399"/>
      <c r="E399"/>
      <c r="F399"/>
      <c r="G399"/>
      <c r="J399"/>
      <c r="K399"/>
      <c r="L399"/>
      <c r="M399"/>
      <c r="O399"/>
      <c r="P399"/>
      <c r="Q399"/>
      <c r="R399"/>
      <c r="S399"/>
      <c r="T399"/>
      <c r="U399"/>
      <c r="V399"/>
      <c r="Y399"/>
      <c r="Z399"/>
      <c r="AA399"/>
      <c r="AB399"/>
      <c r="AF399"/>
      <c r="AG399"/>
      <c r="AH399"/>
      <c r="AI399"/>
      <c r="AJ399"/>
      <c r="AK399"/>
      <c r="AN399"/>
      <c r="AO399"/>
      <c r="AP399"/>
      <c r="AQ399"/>
      <c r="AR399"/>
      <c r="AS399"/>
      <c r="AV399"/>
      <c r="AW399"/>
      <c r="AX399"/>
      <c r="AY399"/>
      <c r="AZ399"/>
      <c r="BA399"/>
      <c r="BL399"/>
      <c r="BM399"/>
      <c r="BN399"/>
      <c r="BO399"/>
      <c r="BP399"/>
      <c r="BQ399"/>
    </row>
    <row r="400" spans="4:69" x14ac:dyDescent="0.25">
      <c r="D400"/>
      <c r="E400"/>
      <c r="F400"/>
      <c r="G400"/>
      <c r="J400"/>
      <c r="K400"/>
      <c r="L400"/>
      <c r="M400"/>
      <c r="O400"/>
      <c r="P400"/>
      <c r="Q400"/>
      <c r="R400"/>
      <c r="S400"/>
      <c r="T400"/>
      <c r="U400"/>
      <c r="V400"/>
      <c r="Y400"/>
      <c r="Z400"/>
      <c r="AA400"/>
      <c r="AB400"/>
      <c r="AF400"/>
      <c r="AG400"/>
      <c r="AH400"/>
      <c r="AI400"/>
      <c r="AJ400"/>
      <c r="AK400"/>
      <c r="AN400"/>
      <c r="AO400"/>
      <c r="AP400"/>
      <c r="AQ400"/>
      <c r="AR400"/>
      <c r="AS400"/>
      <c r="AV400"/>
      <c r="AW400"/>
      <c r="AX400"/>
      <c r="AY400"/>
      <c r="AZ400"/>
      <c r="BA400"/>
      <c r="BL400"/>
      <c r="BM400"/>
      <c r="BN400"/>
      <c r="BO400"/>
      <c r="BP400"/>
      <c r="BQ400"/>
    </row>
    <row r="401" spans="4:69" x14ac:dyDescent="0.25">
      <c r="D401"/>
      <c r="E401"/>
      <c r="F401"/>
      <c r="G401"/>
      <c r="J401"/>
      <c r="K401"/>
      <c r="L401"/>
      <c r="M401"/>
      <c r="O401"/>
      <c r="P401"/>
      <c r="Q401"/>
      <c r="R401"/>
      <c r="S401"/>
      <c r="T401"/>
      <c r="U401"/>
      <c r="V401"/>
      <c r="Y401"/>
      <c r="Z401"/>
      <c r="AA401"/>
      <c r="AB401"/>
      <c r="AF401"/>
      <c r="AG401"/>
      <c r="AH401"/>
      <c r="AI401"/>
      <c r="AJ401"/>
      <c r="AK401"/>
      <c r="AN401"/>
      <c r="AO401"/>
      <c r="AP401"/>
      <c r="AQ401"/>
      <c r="AR401"/>
      <c r="AS401"/>
      <c r="AV401"/>
      <c r="AW401"/>
      <c r="AX401"/>
      <c r="AY401"/>
      <c r="AZ401"/>
      <c r="BA401"/>
      <c r="BL401"/>
      <c r="BM401"/>
      <c r="BN401"/>
      <c r="BO401"/>
      <c r="BP401"/>
      <c r="BQ401"/>
    </row>
    <row r="402" spans="4:69" x14ac:dyDescent="0.25">
      <c r="D402"/>
      <c r="E402"/>
      <c r="F402"/>
      <c r="G402"/>
      <c r="J402"/>
      <c r="K402"/>
      <c r="L402"/>
      <c r="M402"/>
      <c r="O402"/>
      <c r="P402"/>
      <c r="Q402"/>
      <c r="R402"/>
      <c r="S402"/>
      <c r="T402"/>
      <c r="U402"/>
      <c r="V402"/>
      <c r="Y402"/>
      <c r="Z402"/>
      <c r="AA402"/>
      <c r="AB402"/>
      <c r="AF402"/>
      <c r="AG402"/>
      <c r="AH402"/>
      <c r="AI402"/>
      <c r="AJ402"/>
      <c r="AK402"/>
      <c r="AN402"/>
      <c r="AO402"/>
      <c r="AP402"/>
      <c r="AQ402"/>
      <c r="AR402"/>
      <c r="AS402"/>
      <c r="AV402"/>
      <c r="AW402"/>
      <c r="AX402"/>
      <c r="AY402"/>
      <c r="AZ402"/>
      <c r="BA402"/>
      <c r="BL402"/>
      <c r="BM402"/>
      <c r="BN402"/>
      <c r="BO402"/>
      <c r="BP402"/>
      <c r="BQ402"/>
    </row>
    <row r="403" spans="4:69" x14ac:dyDescent="0.25">
      <c r="D403"/>
      <c r="E403"/>
      <c r="F403"/>
      <c r="G403"/>
      <c r="J403"/>
      <c r="K403"/>
      <c r="L403"/>
      <c r="M403"/>
      <c r="O403"/>
      <c r="P403"/>
      <c r="Q403"/>
      <c r="R403"/>
      <c r="S403"/>
      <c r="T403"/>
      <c r="U403"/>
      <c r="V403"/>
      <c r="Y403"/>
      <c r="Z403"/>
      <c r="AA403"/>
      <c r="AB403"/>
      <c r="AF403"/>
      <c r="AG403"/>
      <c r="AH403"/>
      <c r="AI403"/>
      <c r="AJ403"/>
      <c r="AK403"/>
      <c r="AN403"/>
      <c r="AO403"/>
      <c r="AP403"/>
      <c r="AQ403"/>
      <c r="AR403"/>
      <c r="AS403"/>
      <c r="AV403"/>
      <c r="AW403"/>
      <c r="AX403"/>
      <c r="AY403"/>
      <c r="AZ403"/>
      <c r="BA403"/>
      <c r="BL403"/>
      <c r="BM403"/>
      <c r="BN403"/>
      <c r="BO403"/>
      <c r="BP403"/>
      <c r="BQ403"/>
    </row>
    <row r="404" spans="4:69" x14ac:dyDescent="0.25">
      <c r="D404"/>
      <c r="E404"/>
      <c r="F404"/>
      <c r="G404"/>
      <c r="J404"/>
      <c r="K404"/>
      <c r="L404"/>
      <c r="M404"/>
      <c r="O404"/>
      <c r="P404"/>
      <c r="Q404"/>
      <c r="R404"/>
      <c r="S404"/>
      <c r="T404"/>
      <c r="U404"/>
      <c r="V404"/>
      <c r="Y404"/>
      <c r="Z404"/>
      <c r="AA404"/>
      <c r="AB404"/>
      <c r="AF404"/>
      <c r="AG404"/>
      <c r="AH404"/>
      <c r="AI404"/>
      <c r="AJ404"/>
      <c r="AK404"/>
      <c r="AN404"/>
      <c r="AO404"/>
      <c r="AP404"/>
      <c r="AQ404"/>
      <c r="AR404"/>
      <c r="AS404"/>
      <c r="AV404"/>
      <c r="AW404"/>
      <c r="AX404"/>
      <c r="AY404"/>
      <c r="AZ404"/>
      <c r="BA404"/>
      <c r="BL404"/>
      <c r="BM404"/>
      <c r="BN404"/>
      <c r="BO404"/>
      <c r="BP404"/>
      <c r="BQ404"/>
    </row>
    <row r="405" spans="4:69" x14ac:dyDescent="0.25">
      <c r="D405"/>
      <c r="E405"/>
      <c r="F405"/>
      <c r="G405"/>
      <c r="J405"/>
      <c r="K405"/>
      <c r="L405"/>
      <c r="M405"/>
      <c r="O405"/>
      <c r="P405"/>
      <c r="Q405"/>
      <c r="R405"/>
      <c r="S405"/>
      <c r="T405"/>
      <c r="U405"/>
      <c r="V405"/>
      <c r="Y405"/>
      <c r="Z405"/>
      <c r="AA405"/>
      <c r="AB405"/>
      <c r="AF405"/>
      <c r="AG405"/>
      <c r="AH405"/>
      <c r="AI405"/>
      <c r="AJ405"/>
      <c r="AK405"/>
      <c r="AN405"/>
      <c r="AO405"/>
      <c r="AP405"/>
      <c r="AQ405"/>
      <c r="AR405"/>
      <c r="AS405"/>
      <c r="AV405"/>
      <c r="AW405"/>
      <c r="AX405"/>
      <c r="AY405"/>
      <c r="AZ405"/>
      <c r="BA405"/>
      <c r="BL405"/>
      <c r="BM405"/>
      <c r="BN405"/>
      <c r="BO405"/>
      <c r="BP405"/>
      <c r="BQ405"/>
    </row>
    <row r="406" spans="4:69" x14ac:dyDescent="0.25">
      <c r="D406"/>
      <c r="E406"/>
      <c r="F406"/>
      <c r="G406"/>
      <c r="J406"/>
      <c r="K406"/>
      <c r="L406"/>
      <c r="M406"/>
      <c r="O406"/>
      <c r="P406"/>
      <c r="Q406"/>
      <c r="R406"/>
      <c r="S406"/>
      <c r="T406"/>
      <c r="U406"/>
      <c r="V406"/>
      <c r="Y406"/>
      <c r="Z406"/>
      <c r="AA406"/>
      <c r="AB406"/>
      <c r="AF406"/>
      <c r="AG406"/>
      <c r="AH406"/>
      <c r="AI406"/>
      <c r="AJ406"/>
      <c r="AK406"/>
      <c r="AN406"/>
      <c r="AO406"/>
      <c r="AP406"/>
      <c r="AQ406"/>
      <c r="AR406"/>
      <c r="AS406"/>
      <c r="AV406"/>
      <c r="AW406"/>
      <c r="AX406"/>
      <c r="AY406"/>
      <c r="AZ406"/>
      <c r="BA406"/>
      <c r="BL406"/>
      <c r="BM406"/>
      <c r="BN406"/>
      <c r="BO406"/>
      <c r="BP406"/>
      <c r="BQ406"/>
    </row>
    <row r="407" spans="4:69" x14ac:dyDescent="0.25">
      <c r="D407"/>
      <c r="E407"/>
      <c r="F407"/>
      <c r="G407"/>
      <c r="J407"/>
      <c r="K407"/>
      <c r="L407"/>
      <c r="M407"/>
      <c r="O407"/>
      <c r="P407"/>
      <c r="Q407"/>
      <c r="R407"/>
      <c r="S407"/>
      <c r="T407"/>
      <c r="U407"/>
      <c r="V407"/>
      <c r="Y407"/>
      <c r="Z407"/>
      <c r="AA407"/>
      <c r="AB407"/>
      <c r="AF407"/>
      <c r="AG407"/>
      <c r="AH407"/>
      <c r="AI407"/>
      <c r="AJ407"/>
      <c r="AK407"/>
      <c r="AN407"/>
      <c r="AO407"/>
      <c r="AP407"/>
      <c r="AQ407"/>
      <c r="AR407"/>
      <c r="AS407"/>
      <c r="AV407"/>
      <c r="AW407"/>
      <c r="AX407"/>
      <c r="AY407"/>
      <c r="AZ407"/>
      <c r="BA407"/>
      <c r="BL407"/>
      <c r="BM407"/>
      <c r="BN407"/>
      <c r="BO407"/>
      <c r="BP407"/>
      <c r="BQ407"/>
    </row>
    <row r="408" spans="4:69" x14ac:dyDescent="0.25">
      <c r="D408"/>
      <c r="E408"/>
      <c r="F408"/>
      <c r="G408"/>
      <c r="J408"/>
      <c r="K408"/>
      <c r="L408"/>
      <c r="M408"/>
      <c r="O408"/>
      <c r="P408"/>
      <c r="Q408"/>
      <c r="R408"/>
      <c r="S408"/>
      <c r="T408"/>
      <c r="U408"/>
      <c r="V408"/>
      <c r="Y408"/>
      <c r="Z408"/>
      <c r="AA408"/>
      <c r="AB408"/>
      <c r="AF408"/>
      <c r="AG408"/>
      <c r="AH408"/>
      <c r="AI408"/>
      <c r="AJ408"/>
      <c r="AK408"/>
      <c r="AN408"/>
      <c r="AO408"/>
      <c r="AP408"/>
      <c r="AQ408"/>
      <c r="AR408"/>
      <c r="AS408"/>
      <c r="AV408"/>
      <c r="AW408"/>
      <c r="AX408"/>
      <c r="AY408"/>
      <c r="AZ408"/>
      <c r="BA408"/>
      <c r="BL408"/>
      <c r="BM408"/>
      <c r="BN408"/>
      <c r="BO408"/>
      <c r="BP408"/>
      <c r="BQ408"/>
    </row>
    <row r="409" spans="4:69" x14ac:dyDescent="0.25">
      <c r="D409"/>
      <c r="E409"/>
      <c r="F409"/>
      <c r="G409"/>
      <c r="J409"/>
      <c r="K409"/>
      <c r="L409"/>
      <c r="M409"/>
      <c r="O409"/>
      <c r="P409"/>
      <c r="Q409"/>
      <c r="R409"/>
      <c r="S409"/>
      <c r="T409"/>
      <c r="U409"/>
      <c r="V409"/>
      <c r="Y409"/>
      <c r="Z409"/>
      <c r="AA409"/>
      <c r="AB409"/>
      <c r="AF409"/>
      <c r="AG409"/>
      <c r="AH409"/>
      <c r="AI409"/>
      <c r="AJ409"/>
      <c r="AK409"/>
      <c r="AN409"/>
      <c r="AO409"/>
      <c r="AP409"/>
      <c r="AQ409"/>
      <c r="AR409"/>
      <c r="AS409"/>
      <c r="AV409"/>
      <c r="AW409"/>
      <c r="AX409"/>
      <c r="AY409"/>
      <c r="AZ409"/>
      <c r="BA409"/>
      <c r="BL409"/>
      <c r="BM409"/>
      <c r="BN409"/>
      <c r="BO409"/>
      <c r="BP409"/>
      <c r="BQ409"/>
    </row>
    <row r="410" spans="4:69" x14ac:dyDescent="0.25">
      <c r="D410"/>
      <c r="E410"/>
      <c r="F410"/>
      <c r="G410"/>
      <c r="J410"/>
      <c r="K410"/>
      <c r="L410"/>
      <c r="M410"/>
      <c r="O410"/>
      <c r="P410"/>
      <c r="Q410"/>
      <c r="R410"/>
      <c r="S410"/>
      <c r="T410"/>
      <c r="U410"/>
      <c r="V410"/>
      <c r="Y410"/>
      <c r="Z410"/>
      <c r="AA410"/>
      <c r="AB410"/>
      <c r="AF410"/>
      <c r="AG410"/>
      <c r="AH410"/>
      <c r="AI410"/>
      <c r="AJ410"/>
      <c r="AK410"/>
      <c r="AN410"/>
      <c r="AO410"/>
      <c r="AP410"/>
      <c r="AQ410"/>
      <c r="AR410"/>
      <c r="AS410"/>
      <c r="AV410"/>
      <c r="AW410"/>
      <c r="AX410"/>
      <c r="AY410"/>
      <c r="AZ410"/>
      <c r="BA410"/>
      <c r="BL410"/>
      <c r="BM410"/>
      <c r="BN410"/>
      <c r="BO410"/>
      <c r="BP410"/>
      <c r="BQ410"/>
    </row>
    <row r="411" spans="4:69" x14ac:dyDescent="0.25">
      <c r="D411"/>
      <c r="E411"/>
      <c r="F411"/>
      <c r="G411"/>
      <c r="J411"/>
      <c r="K411"/>
      <c r="L411"/>
      <c r="M411"/>
      <c r="O411"/>
      <c r="P411"/>
      <c r="Q411"/>
      <c r="R411"/>
      <c r="S411"/>
      <c r="T411"/>
      <c r="U411"/>
      <c r="V411"/>
      <c r="Y411"/>
      <c r="Z411"/>
      <c r="AA411"/>
      <c r="AB411"/>
      <c r="AF411"/>
      <c r="AG411"/>
      <c r="AH411"/>
      <c r="AI411"/>
      <c r="AJ411"/>
      <c r="AK411"/>
      <c r="AN411"/>
      <c r="AO411"/>
      <c r="AP411"/>
      <c r="AQ411"/>
      <c r="AR411"/>
      <c r="AS411"/>
      <c r="AV411"/>
      <c r="AW411"/>
      <c r="AX411"/>
      <c r="AY411"/>
      <c r="AZ411"/>
      <c r="BA411"/>
      <c r="BL411"/>
      <c r="BM411"/>
      <c r="BN411"/>
      <c r="BO411"/>
      <c r="BP411"/>
      <c r="BQ411"/>
    </row>
    <row r="412" spans="4:69" x14ac:dyDescent="0.25">
      <c r="D412"/>
      <c r="E412"/>
      <c r="F412"/>
      <c r="G412"/>
      <c r="J412"/>
      <c r="K412"/>
      <c r="L412"/>
      <c r="M412"/>
      <c r="O412"/>
      <c r="P412"/>
      <c r="Q412"/>
      <c r="R412"/>
      <c r="S412"/>
      <c r="T412"/>
      <c r="U412"/>
      <c r="V412"/>
      <c r="Y412"/>
      <c r="Z412"/>
      <c r="AA412"/>
      <c r="AB412"/>
      <c r="AF412"/>
      <c r="AG412"/>
      <c r="AH412"/>
      <c r="AI412"/>
      <c r="AJ412"/>
      <c r="AK412"/>
      <c r="AN412"/>
      <c r="AO412"/>
      <c r="AP412"/>
      <c r="AQ412"/>
      <c r="AR412"/>
      <c r="AS412"/>
      <c r="AV412"/>
      <c r="AW412"/>
      <c r="AX412"/>
      <c r="AY412"/>
      <c r="AZ412"/>
      <c r="BA412"/>
      <c r="BL412"/>
      <c r="BM412"/>
      <c r="BN412"/>
      <c r="BO412"/>
      <c r="BP412"/>
      <c r="BQ412"/>
    </row>
    <row r="413" spans="4:69" x14ac:dyDescent="0.25">
      <c r="D413"/>
      <c r="E413"/>
      <c r="F413"/>
      <c r="G413"/>
      <c r="J413"/>
      <c r="K413"/>
      <c r="L413"/>
      <c r="M413"/>
      <c r="O413"/>
      <c r="P413"/>
      <c r="Q413"/>
      <c r="R413"/>
      <c r="S413"/>
      <c r="T413"/>
      <c r="U413"/>
      <c r="V413"/>
      <c r="Y413"/>
      <c r="Z413"/>
      <c r="AA413"/>
      <c r="AB413"/>
      <c r="AF413"/>
      <c r="AG413"/>
      <c r="AH413"/>
      <c r="AI413"/>
      <c r="AJ413"/>
      <c r="AK413"/>
      <c r="AN413"/>
      <c r="AO413"/>
      <c r="AP413"/>
      <c r="AQ413"/>
      <c r="AR413"/>
      <c r="AS413"/>
      <c r="AV413"/>
      <c r="AW413"/>
      <c r="AX413"/>
      <c r="AY413"/>
      <c r="AZ413"/>
      <c r="BA413"/>
      <c r="BL413"/>
      <c r="BM413"/>
      <c r="BN413"/>
      <c r="BO413"/>
      <c r="BP413"/>
      <c r="BQ413"/>
    </row>
    <row r="414" spans="4:69" x14ac:dyDescent="0.25">
      <c r="D414"/>
      <c r="E414"/>
      <c r="F414"/>
      <c r="G414"/>
      <c r="J414"/>
      <c r="K414"/>
      <c r="L414"/>
      <c r="M414"/>
      <c r="O414"/>
      <c r="P414"/>
      <c r="Q414"/>
      <c r="R414"/>
      <c r="S414"/>
      <c r="T414"/>
      <c r="U414"/>
      <c r="V414"/>
      <c r="Y414"/>
      <c r="Z414"/>
      <c r="AA414"/>
      <c r="AB414"/>
      <c r="AF414"/>
      <c r="AG414"/>
      <c r="AH414"/>
      <c r="AI414"/>
      <c r="AJ414"/>
      <c r="AK414"/>
      <c r="AN414"/>
      <c r="AO414"/>
      <c r="AP414"/>
      <c r="AQ414"/>
      <c r="AR414"/>
      <c r="AS414"/>
      <c r="AV414"/>
      <c r="AW414"/>
      <c r="AX414"/>
      <c r="AY414"/>
      <c r="AZ414"/>
      <c r="BA414"/>
      <c r="BL414"/>
      <c r="BM414"/>
      <c r="BN414"/>
      <c r="BO414"/>
      <c r="BP414"/>
      <c r="BQ414"/>
    </row>
    <row r="415" spans="4:69" x14ac:dyDescent="0.25">
      <c r="D415"/>
      <c r="E415"/>
      <c r="F415"/>
      <c r="G415"/>
      <c r="J415"/>
      <c r="K415"/>
      <c r="L415"/>
      <c r="M415"/>
      <c r="O415"/>
      <c r="P415"/>
      <c r="Q415"/>
      <c r="R415"/>
      <c r="S415"/>
      <c r="T415"/>
      <c r="U415"/>
      <c r="V415"/>
      <c r="Y415"/>
      <c r="Z415"/>
      <c r="AA415"/>
      <c r="AB415"/>
      <c r="AF415"/>
      <c r="AG415"/>
      <c r="AH415"/>
      <c r="AI415"/>
      <c r="AJ415"/>
      <c r="AK415"/>
      <c r="AN415"/>
      <c r="AO415"/>
      <c r="AP415"/>
      <c r="AQ415"/>
      <c r="AR415"/>
      <c r="AS415"/>
      <c r="AV415"/>
      <c r="AW415"/>
      <c r="AX415"/>
      <c r="AY415"/>
      <c r="AZ415"/>
      <c r="BA415"/>
      <c r="BL415"/>
      <c r="BM415"/>
      <c r="BN415"/>
      <c r="BO415"/>
      <c r="BP415"/>
      <c r="BQ415"/>
    </row>
    <row r="416" spans="4:69" x14ac:dyDescent="0.25">
      <c r="D416"/>
      <c r="E416"/>
      <c r="F416"/>
      <c r="G416"/>
      <c r="J416"/>
      <c r="K416"/>
      <c r="L416"/>
      <c r="M416"/>
      <c r="O416"/>
      <c r="P416"/>
      <c r="Q416"/>
      <c r="R416"/>
      <c r="S416"/>
      <c r="T416"/>
      <c r="U416"/>
      <c r="V416"/>
      <c r="Y416"/>
      <c r="Z416"/>
      <c r="AA416"/>
      <c r="AB416"/>
      <c r="AF416"/>
      <c r="AG416"/>
      <c r="AH416"/>
      <c r="AI416"/>
      <c r="AJ416"/>
      <c r="AK416"/>
      <c r="AN416"/>
      <c r="AO416"/>
      <c r="AP416"/>
      <c r="AQ416"/>
      <c r="AR416"/>
      <c r="AS416"/>
      <c r="AV416"/>
      <c r="AW416"/>
      <c r="AX416"/>
      <c r="AY416"/>
      <c r="AZ416"/>
      <c r="BA416"/>
      <c r="BL416"/>
      <c r="BM416"/>
      <c r="BN416"/>
      <c r="BO416"/>
      <c r="BP416"/>
      <c r="BQ416"/>
    </row>
    <row r="417" spans="4:69" x14ac:dyDescent="0.25">
      <c r="D417"/>
      <c r="E417"/>
      <c r="F417"/>
      <c r="G417"/>
      <c r="J417"/>
      <c r="K417"/>
      <c r="L417"/>
      <c r="M417"/>
      <c r="O417"/>
      <c r="P417"/>
      <c r="Q417"/>
      <c r="R417"/>
      <c r="S417"/>
      <c r="T417"/>
      <c r="U417"/>
      <c r="V417"/>
      <c r="Y417"/>
      <c r="Z417"/>
      <c r="AA417"/>
      <c r="AB417"/>
      <c r="AF417"/>
      <c r="AG417"/>
      <c r="AH417"/>
      <c r="AI417"/>
      <c r="AJ417"/>
      <c r="AK417"/>
      <c r="AN417"/>
      <c r="AO417"/>
      <c r="AP417"/>
      <c r="AQ417"/>
      <c r="AR417"/>
      <c r="AS417"/>
      <c r="AV417"/>
      <c r="AW417"/>
      <c r="AX417"/>
      <c r="AY417"/>
      <c r="AZ417"/>
      <c r="BA417"/>
      <c r="BL417"/>
      <c r="BM417"/>
      <c r="BN417"/>
      <c r="BO417"/>
      <c r="BP417"/>
      <c r="BQ417"/>
    </row>
    <row r="418" spans="4:69" x14ac:dyDescent="0.25">
      <c r="D418"/>
      <c r="E418"/>
      <c r="F418"/>
      <c r="G418"/>
      <c r="J418"/>
      <c r="K418"/>
      <c r="L418"/>
      <c r="M418"/>
      <c r="O418"/>
      <c r="P418"/>
      <c r="Q418"/>
      <c r="R418"/>
      <c r="S418"/>
      <c r="T418"/>
      <c r="U418"/>
      <c r="V418"/>
      <c r="Y418"/>
      <c r="Z418"/>
      <c r="AA418"/>
      <c r="AB418"/>
      <c r="AF418"/>
      <c r="AG418"/>
      <c r="AH418"/>
      <c r="AI418"/>
      <c r="AJ418"/>
      <c r="AK418"/>
      <c r="AN418"/>
      <c r="AO418"/>
      <c r="AP418"/>
      <c r="AQ418"/>
      <c r="AR418"/>
      <c r="AS418"/>
      <c r="AV418"/>
      <c r="AW418"/>
      <c r="AX418"/>
      <c r="AY418"/>
      <c r="AZ418"/>
      <c r="BA418"/>
      <c r="BL418"/>
      <c r="BM418"/>
      <c r="BN418"/>
      <c r="BO418"/>
      <c r="BP418"/>
      <c r="BQ418"/>
    </row>
    <row r="419" spans="4:69" x14ac:dyDescent="0.25">
      <c r="D419"/>
      <c r="E419"/>
      <c r="F419"/>
      <c r="G419"/>
      <c r="J419"/>
      <c r="K419"/>
      <c r="L419"/>
      <c r="M419"/>
      <c r="O419"/>
      <c r="P419"/>
      <c r="Q419"/>
      <c r="R419"/>
      <c r="S419"/>
      <c r="T419"/>
      <c r="U419"/>
      <c r="V419"/>
      <c r="Y419"/>
      <c r="Z419"/>
      <c r="AA419"/>
      <c r="AB419"/>
      <c r="AF419"/>
      <c r="AG419"/>
      <c r="AH419"/>
      <c r="AI419"/>
      <c r="AJ419"/>
      <c r="AK419"/>
      <c r="AN419"/>
      <c r="AO419"/>
      <c r="AP419"/>
      <c r="AQ419"/>
      <c r="AR419"/>
      <c r="AS419"/>
      <c r="AV419"/>
      <c r="AW419"/>
      <c r="AX419"/>
      <c r="AY419"/>
      <c r="AZ419"/>
      <c r="BA419"/>
      <c r="BL419"/>
      <c r="BM419"/>
      <c r="BN419"/>
      <c r="BO419"/>
      <c r="BP419"/>
      <c r="BQ419"/>
    </row>
    <row r="420" spans="4:69" x14ac:dyDescent="0.25">
      <c r="D420"/>
      <c r="E420"/>
      <c r="F420"/>
      <c r="G420"/>
      <c r="J420"/>
      <c r="K420"/>
      <c r="L420"/>
      <c r="M420"/>
      <c r="O420"/>
      <c r="P420"/>
      <c r="Q420"/>
      <c r="R420"/>
      <c r="S420"/>
      <c r="T420"/>
      <c r="U420"/>
      <c r="V420"/>
      <c r="Y420"/>
      <c r="Z420"/>
      <c r="AA420"/>
      <c r="AB420"/>
      <c r="AF420"/>
      <c r="AG420"/>
      <c r="AH420"/>
      <c r="AI420"/>
      <c r="AJ420"/>
      <c r="AK420"/>
      <c r="AN420"/>
      <c r="AO420"/>
      <c r="AP420"/>
      <c r="AQ420"/>
      <c r="AR420"/>
      <c r="AS420"/>
      <c r="AV420"/>
      <c r="AW420"/>
      <c r="AX420"/>
      <c r="AY420"/>
      <c r="AZ420"/>
      <c r="BA420"/>
      <c r="BL420"/>
      <c r="BM420"/>
      <c r="BN420"/>
      <c r="BO420"/>
      <c r="BP420"/>
      <c r="BQ420"/>
    </row>
    <row r="421" spans="4:69" x14ac:dyDescent="0.25">
      <c r="D421"/>
      <c r="E421"/>
      <c r="F421"/>
      <c r="G421"/>
      <c r="J421"/>
      <c r="K421"/>
      <c r="L421"/>
      <c r="M421"/>
      <c r="O421"/>
      <c r="P421"/>
      <c r="Q421"/>
      <c r="R421"/>
      <c r="S421"/>
      <c r="T421"/>
      <c r="U421"/>
      <c r="V421"/>
      <c r="Y421"/>
      <c r="Z421"/>
      <c r="AA421"/>
      <c r="AB421"/>
      <c r="AF421"/>
      <c r="AG421"/>
      <c r="AH421"/>
      <c r="AI421"/>
      <c r="AJ421"/>
      <c r="AK421"/>
      <c r="AN421"/>
      <c r="AO421"/>
      <c r="AP421"/>
      <c r="AQ421"/>
      <c r="AR421"/>
      <c r="AS421"/>
      <c r="AV421"/>
      <c r="AW421"/>
      <c r="AX421"/>
      <c r="AY421"/>
      <c r="AZ421"/>
      <c r="BA421"/>
      <c r="BL421"/>
      <c r="BM421"/>
      <c r="BN421"/>
      <c r="BO421"/>
      <c r="BP421"/>
      <c r="BQ421"/>
    </row>
    <row r="422" spans="4:69" x14ac:dyDescent="0.25">
      <c r="D422"/>
      <c r="E422"/>
      <c r="F422"/>
      <c r="G422"/>
      <c r="J422"/>
      <c r="K422"/>
      <c r="L422"/>
      <c r="M422"/>
      <c r="O422"/>
      <c r="P422"/>
      <c r="Q422"/>
      <c r="R422"/>
      <c r="S422"/>
      <c r="T422"/>
      <c r="U422"/>
      <c r="V422"/>
      <c r="Y422"/>
      <c r="Z422"/>
      <c r="AA422"/>
      <c r="AB422"/>
      <c r="AF422"/>
      <c r="AG422"/>
      <c r="AH422"/>
      <c r="AI422"/>
      <c r="AJ422"/>
      <c r="AK422"/>
      <c r="AN422"/>
      <c r="AO422"/>
      <c r="AP422"/>
      <c r="AQ422"/>
      <c r="AR422"/>
      <c r="AS422"/>
      <c r="AV422"/>
      <c r="AW422"/>
      <c r="AX422"/>
      <c r="AY422"/>
      <c r="AZ422"/>
      <c r="BA422"/>
      <c r="BL422"/>
      <c r="BM422"/>
      <c r="BN422"/>
      <c r="BO422"/>
      <c r="BP422"/>
      <c r="BQ422"/>
    </row>
    <row r="423" spans="4:69" x14ac:dyDescent="0.25">
      <c r="D423"/>
      <c r="E423"/>
      <c r="F423"/>
      <c r="G423"/>
      <c r="J423"/>
      <c r="K423"/>
      <c r="L423"/>
      <c r="M423"/>
      <c r="O423"/>
      <c r="P423"/>
      <c r="Q423"/>
      <c r="R423"/>
      <c r="S423"/>
      <c r="T423"/>
      <c r="U423"/>
      <c r="V423"/>
      <c r="Y423"/>
      <c r="Z423"/>
      <c r="AA423"/>
      <c r="AB423"/>
      <c r="AF423"/>
      <c r="AG423"/>
      <c r="AH423"/>
      <c r="AI423"/>
      <c r="AJ423"/>
      <c r="AK423"/>
      <c r="AN423"/>
      <c r="AO423"/>
      <c r="AP423"/>
      <c r="AQ423"/>
      <c r="AR423"/>
      <c r="AS423"/>
      <c r="AV423"/>
      <c r="AW423"/>
      <c r="AX423"/>
      <c r="AY423"/>
      <c r="AZ423"/>
      <c r="BA423"/>
      <c r="BL423"/>
      <c r="BM423"/>
      <c r="BN423"/>
      <c r="BO423"/>
      <c r="BP423"/>
      <c r="BQ423"/>
    </row>
    <row r="424" spans="4:69" x14ac:dyDescent="0.25">
      <c r="D424"/>
      <c r="E424"/>
      <c r="F424"/>
      <c r="G424"/>
      <c r="J424"/>
      <c r="K424"/>
      <c r="L424"/>
      <c r="M424"/>
      <c r="O424"/>
      <c r="P424"/>
      <c r="Q424"/>
      <c r="R424"/>
      <c r="S424"/>
      <c r="T424"/>
      <c r="U424"/>
      <c r="V424"/>
      <c r="Y424"/>
      <c r="Z424"/>
      <c r="AA424"/>
      <c r="AB424"/>
      <c r="AF424"/>
      <c r="AG424"/>
      <c r="AH424"/>
      <c r="AI424"/>
      <c r="AJ424"/>
      <c r="AK424"/>
      <c r="AN424"/>
      <c r="AO424"/>
      <c r="AP424"/>
      <c r="AQ424"/>
      <c r="AR424"/>
      <c r="AS424"/>
      <c r="AV424"/>
      <c r="AW424"/>
      <c r="AX424"/>
      <c r="AY424"/>
      <c r="AZ424"/>
      <c r="BA424"/>
      <c r="BL424"/>
      <c r="BM424"/>
      <c r="BN424"/>
      <c r="BO424"/>
      <c r="BP424"/>
      <c r="BQ424"/>
    </row>
    <row r="425" spans="4:69" x14ac:dyDescent="0.25">
      <c r="D425"/>
      <c r="E425"/>
      <c r="F425"/>
      <c r="G425"/>
      <c r="J425"/>
      <c r="K425"/>
      <c r="L425"/>
      <c r="M425"/>
      <c r="O425"/>
      <c r="P425"/>
      <c r="Q425"/>
      <c r="R425"/>
      <c r="S425"/>
      <c r="T425"/>
      <c r="U425"/>
      <c r="V425"/>
      <c r="Y425"/>
      <c r="Z425"/>
      <c r="AA425"/>
      <c r="AB425"/>
      <c r="AF425"/>
      <c r="AG425"/>
      <c r="AH425"/>
      <c r="AI425"/>
      <c r="AJ425"/>
      <c r="AK425"/>
      <c r="AN425"/>
      <c r="AO425"/>
      <c r="AP425"/>
      <c r="AQ425"/>
      <c r="AR425"/>
      <c r="AS425"/>
      <c r="AV425"/>
      <c r="AW425"/>
      <c r="AX425"/>
      <c r="AY425"/>
      <c r="AZ425"/>
      <c r="BA425"/>
      <c r="BL425"/>
      <c r="BM425"/>
      <c r="BN425"/>
      <c r="BO425"/>
      <c r="BP425"/>
      <c r="BQ425"/>
    </row>
    <row r="426" spans="4:69" x14ac:dyDescent="0.25">
      <c r="D426"/>
      <c r="E426"/>
      <c r="F426"/>
      <c r="G426"/>
      <c r="J426"/>
      <c r="K426"/>
      <c r="L426"/>
      <c r="M426"/>
      <c r="O426"/>
      <c r="P426"/>
      <c r="Q426"/>
      <c r="R426"/>
      <c r="S426"/>
      <c r="T426"/>
      <c r="U426"/>
      <c r="V426"/>
      <c r="Y426"/>
      <c r="Z426"/>
      <c r="AA426"/>
      <c r="AB426"/>
      <c r="AF426"/>
      <c r="AG426"/>
      <c r="AH426"/>
      <c r="AI426"/>
      <c r="AJ426"/>
      <c r="AK426"/>
      <c r="AN426"/>
      <c r="AO426"/>
      <c r="AP426"/>
      <c r="AQ426"/>
      <c r="AR426"/>
      <c r="AS426"/>
      <c r="AV426"/>
      <c r="AW426"/>
      <c r="AX426"/>
      <c r="AY426"/>
      <c r="AZ426"/>
      <c r="BA426"/>
      <c r="BL426"/>
      <c r="BM426"/>
      <c r="BN426"/>
      <c r="BO426"/>
      <c r="BP426"/>
      <c r="BQ426"/>
    </row>
    <row r="427" spans="4:69" x14ac:dyDescent="0.25">
      <c r="D427"/>
      <c r="E427"/>
      <c r="F427"/>
      <c r="G427"/>
      <c r="J427"/>
      <c r="K427"/>
      <c r="L427"/>
      <c r="M427"/>
      <c r="O427"/>
      <c r="P427"/>
      <c r="Q427"/>
      <c r="R427"/>
      <c r="S427"/>
      <c r="T427"/>
      <c r="U427"/>
      <c r="V427"/>
      <c r="Y427"/>
      <c r="Z427"/>
      <c r="AA427"/>
      <c r="AB427"/>
      <c r="AF427"/>
      <c r="AG427"/>
      <c r="AH427"/>
      <c r="AI427"/>
      <c r="AJ427"/>
      <c r="AK427"/>
      <c r="AN427"/>
      <c r="AO427"/>
      <c r="AP427"/>
      <c r="AQ427"/>
      <c r="AR427"/>
      <c r="AS427"/>
      <c r="AV427"/>
      <c r="AW427"/>
      <c r="AX427"/>
      <c r="AY427"/>
      <c r="AZ427"/>
      <c r="BA427"/>
      <c r="BL427"/>
      <c r="BM427"/>
      <c r="BN427"/>
      <c r="BO427"/>
      <c r="BP427"/>
      <c r="BQ427"/>
    </row>
    <row r="428" spans="4:69" x14ac:dyDescent="0.25">
      <c r="D428"/>
      <c r="E428"/>
      <c r="F428"/>
      <c r="G428"/>
      <c r="J428"/>
      <c r="K428"/>
      <c r="L428"/>
      <c r="M428"/>
      <c r="O428"/>
      <c r="P428"/>
      <c r="Q428"/>
      <c r="R428"/>
      <c r="S428"/>
      <c r="T428"/>
      <c r="U428"/>
      <c r="V428"/>
      <c r="Y428"/>
      <c r="Z428"/>
      <c r="AA428"/>
      <c r="AB428"/>
      <c r="AF428"/>
      <c r="AG428"/>
      <c r="AH428"/>
      <c r="AI428"/>
      <c r="AJ428"/>
      <c r="AK428"/>
      <c r="AN428"/>
      <c r="AO428"/>
      <c r="AP428"/>
      <c r="AQ428"/>
      <c r="AR428"/>
      <c r="AS428"/>
      <c r="AV428"/>
      <c r="AW428"/>
      <c r="AX428"/>
      <c r="AY428"/>
      <c r="AZ428"/>
      <c r="BA428"/>
      <c r="BL428"/>
      <c r="BM428"/>
      <c r="BN428"/>
      <c r="BO428"/>
      <c r="BP428"/>
      <c r="BQ428"/>
    </row>
    <row r="429" spans="4:69" x14ac:dyDescent="0.25">
      <c r="D429"/>
      <c r="E429"/>
      <c r="F429"/>
      <c r="G429"/>
      <c r="J429"/>
      <c r="K429"/>
      <c r="L429"/>
      <c r="M429"/>
      <c r="O429"/>
      <c r="P429"/>
      <c r="Q429"/>
      <c r="R429"/>
      <c r="S429"/>
      <c r="T429"/>
      <c r="U429"/>
      <c r="V429"/>
      <c r="Y429"/>
      <c r="Z429"/>
      <c r="AA429"/>
      <c r="AB429"/>
      <c r="AF429"/>
      <c r="AG429"/>
      <c r="AH429"/>
      <c r="AI429"/>
      <c r="AJ429"/>
      <c r="AK429"/>
      <c r="AN429"/>
      <c r="AO429"/>
      <c r="AP429"/>
      <c r="AQ429"/>
      <c r="AR429"/>
      <c r="AS429"/>
      <c r="AV429"/>
      <c r="AW429"/>
      <c r="AX429"/>
      <c r="AY429"/>
      <c r="AZ429"/>
      <c r="BA429"/>
      <c r="BL429"/>
      <c r="BM429"/>
      <c r="BN429"/>
      <c r="BO429"/>
      <c r="BP429"/>
      <c r="BQ429"/>
    </row>
    <row r="430" spans="4:69" x14ac:dyDescent="0.25">
      <c r="D430"/>
      <c r="E430"/>
      <c r="F430"/>
      <c r="G430"/>
      <c r="J430"/>
      <c r="K430"/>
      <c r="L430"/>
      <c r="M430"/>
      <c r="O430"/>
      <c r="P430"/>
      <c r="Q430"/>
      <c r="R430"/>
      <c r="S430"/>
      <c r="T430"/>
      <c r="U430"/>
      <c r="V430"/>
      <c r="Y430"/>
      <c r="Z430"/>
      <c r="AA430"/>
      <c r="AB430"/>
      <c r="AF430"/>
      <c r="AG430"/>
      <c r="AH430"/>
      <c r="AI430"/>
      <c r="AJ430"/>
      <c r="AK430"/>
      <c r="AN430"/>
      <c r="AO430"/>
      <c r="AP430"/>
      <c r="AQ430"/>
      <c r="AR430"/>
      <c r="AS430"/>
      <c r="AV430"/>
      <c r="AW430"/>
      <c r="AX430"/>
      <c r="AY430"/>
      <c r="AZ430"/>
      <c r="BA430"/>
      <c r="BL430"/>
      <c r="BM430"/>
      <c r="BN430"/>
      <c r="BO430"/>
      <c r="BP430"/>
      <c r="BQ430"/>
    </row>
    <row r="431" spans="4:69" x14ac:dyDescent="0.25">
      <c r="D431"/>
      <c r="E431"/>
      <c r="F431"/>
      <c r="G431"/>
      <c r="J431"/>
      <c r="K431"/>
      <c r="L431"/>
      <c r="M431"/>
      <c r="O431"/>
      <c r="P431"/>
      <c r="Q431"/>
      <c r="R431"/>
      <c r="S431"/>
      <c r="T431"/>
      <c r="U431"/>
      <c r="V431"/>
      <c r="Y431"/>
      <c r="Z431"/>
      <c r="AA431"/>
      <c r="AB431"/>
      <c r="AF431"/>
      <c r="AG431"/>
      <c r="AH431"/>
      <c r="AI431"/>
      <c r="AJ431"/>
      <c r="AK431"/>
      <c r="AN431"/>
      <c r="AO431"/>
      <c r="AP431"/>
      <c r="AQ431"/>
      <c r="AR431"/>
      <c r="AS431"/>
      <c r="AV431"/>
      <c r="AW431"/>
      <c r="AX431"/>
      <c r="AY431"/>
      <c r="AZ431"/>
      <c r="BA431"/>
      <c r="BL431"/>
      <c r="BM431"/>
      <c r="BN431"/>
      <c r="BO431"/>
      <c r="BP431"/>
      <c r="BQ431"/>
    </row>
    <row r="432" spans="4:69" x14ac:dyDescent="0.25">
      <c r="D432"/>
      <c r="E432"/>
      <c r="F432"/>
      <c r="G432"/>
      <c r="J432"/>
      <c r="K432"/>
      <c r="L432"/>
      <c r="M432"/>
      <c r="O432"/>
      <c r="P432"/>
      <c r="Q432"/>
      <c r="R432"/>
      <c r="S432"/>
      <c r="T432"/>
      <c r="U432"/>
      <c r="V432"/>
      <c r="Y432"/>
      <c r="Z432"/>
      <c r="AA432"/>
      <c r="AB432"/>
      <c r="AF432"/>
      <c r="AG432"/>
      <c r="AH432"/>
      <c r="AI432"/>
      <c r="AJ432"/>
      <c r="AK432"/>
      <c r="AN432"/>
      <c r="AO432"/>
      <c r="AP432"/>
      <c r="AQ432"/>
      <c r="AR432"/>
      <c r="AS432"/>
      <c r="AV432"/>
      <c r="AW432"/>
      <c r="AX432"/>
      <c r="AY432"/>
      <c r="AZ432"/>
      <c r="BA432"/>
      <c r="BL432"/>
      <c r="BM432"/>
      <c r="BN432"/>
      <c r="BO432"/>
      <c r="BP432"/>
      <c r="BQ432"/>
    </row>
    <row r="433" spans="4:69" x14ac:dyDescent="0.25">
      <c r="D433"/>
      <c r="E433"/>
      <c r="F433"/>
      <c r="G433"/>
      <c r="J433"/>
      <c r="K433"/>
      <c r="L433"/>
      <c r="M433"/>
      <c r="O433"/>
      <c r="P433"/>
      <c r="Q433"/>
      <c r="R433"/>
      <c r="S433"/>
      <c r="T433"/>
      <c r="U433"/>
      <c r="V433"/>
      <c r="Y433"/>
      <c r="Z433"/>
      <c r="AA433"/>
      <c r="AB433"/>
      <c r="AF433"/>
      <c r="AG433"/>
      <c r="AH433"/>
      <c r="AI433"/>
      <c r="AJ433"/>
      <c r="AK433"/>
      <c r="AN433"/>
      <c r="AO433"/>
      <c r="AP433"/>
      <c r="AQ433"/>
      <c r="AR433"/>
      <c r="AS433"/>
      <c r="AV433"/>
      <c r="AW433"/>
      <c r="AX433"/>
      <c r="AY433"/>
      <c r="AZ433"/>
      <c r="BA433"/>
      <c r="BL433"/>
      <c r="BM433"/>
      <c r="BN433"/>
      <c r="BO433"/>
      <c r="BP433"/>
      <c r="BQ433"/>
    </row>
    <row r="434" spans="4:69" x14ac:dyDescent="0.25">
      <c r="D434"/>
      <c r="E434"/>
      <c r="F434"/>
      <c r="G434"/>
      <c r="J434"/>
      <c r="K434"/>
      <c r="L434"/>
      <c r="M434"/>
      <c r="O434"/>
      <c r="P434"/>
      <c r="Q434"/>
      <c r="R434"/>
      <c r="S434"/>
      <c r="T434"/>
      <c r="U434"/>
      <c r="V434"/>
      <c r="Y434"/>
      <c r="Z434"/>
      <c r="AA434"/>
      <c r="AB434"/>
      <c r="AF434"/>
      <c r="AG434"/>
      <c r="AH434"/>
      <c r="AI434"/>
      <c r="AJ434"/>
      <c r="AK434"/>
      <c r="AN434"/>
      <c r="AO434"/>
      <c r="AP434"/>
      <c r="AQ434"/>
      <c r="AR434"/>
      <c r="AS434"/>
      <c r="AV434"/>
      <c r="AW434"/>
      <c r="AX434"/>
      <c r="AY434"/>
      <c r="AZ434"/>
      <c r="BA434"/>
      <c r="BL434"/>
      <c r="BM434"/>
      <c r="BN434"/>
      <c r="BO434"/>
      <c r="BP434"/>
      <c r="BQ434"/>
    </row>
    <row r="435" spans="4:69" x14ac:dyDescent="0.25">
      <c r="D435"/>
      <c r="E435"/>
      <c r="F435"/>
      <c r="G435"/>
      <c r="J435"/>
      <c r="K435"/>
      <c r="L435"/>
      <c r="M435"/>
      <c r="O435"/>
      <c r="P435"/>
      <c r="Q435"/>
      <c r="R435"/>
      <c r="S435"/>
      <c r="T435"/>
      <c r="U435"/>
      <c r="V435"/>
      <c r="Y435"/>
      <c r="Z435"/>
      <c r="AA435"/>
      <c r="AB435"/>
      <c r="AF435"/>
      <c r="AG435"/>
      <c r="AH435"/>
      <c r="AI435"/>
      <c r="AJ435"/>
      <c r="AK435"/>
      <c r="AN435"/>
      <c r="AO435"/>
      <c r="AP435"/>
      <c r="AQ435"/>
      <c r="AR435"/>
      <c r="AS435"/>
      <c r="AV435"/>
      <c r="AW435"/>
      <c r="AX435"/>
      <c r="AY435"/>
      <c r="AZ435"/>
      <c r="BA435"/>
      <c r="BL435"/>
      <c r="BM435"/>
      <c r="BN435"/>
      <c r="BO435"/>
      <c r="BP435"/>
      <c r="BQ435"/>
    </row>
    <row r="436" spans="4:69" x14ac:dyDescent="0.25">
      <c r="D436"/>
      <c r="E436"/>
      <c r="F436"/>
      <c r="G436"/>
      <c r="J436"/>
      <c r="K436"/>
      <c r="L436"/>
      <c r="M436"/>
      <c r="O436"/>
      <c r="P436"/>
      <c r="Q436"/>
      <c r="R436"/>
      <c r="S436"/>
      <c r="T436"/>
      <c r="U436"/>
      <c r="V436"/>
      <c r="Y436"/>
      <c r="Z436"/>
      <c r="AA436"/>
      <c r="AB436"/>
      <c r="AF436"/>
      <c r="AG436"/>
      <c r="AH436"/>
      <c r="AI436"/>
      <c r="AJ436"/>
      <c r="AK436"/>
      <c r="AN436"/>
      <c r="AO436"/>
      <c r="AP436"/>
      <c r="AQ436"/>
      <c r="AR436"/>
      <c r="AS436"/>
      <c r="AV436"/>
      <c r="AW436"/>
      <c r="AX436"/>
      <c r="AY436"/>
      <c r="AZ436"/>
      <c r="BA436"/>
      <c r="BL436"/>
      <c r="BM436"/>
      <c r="BN436"/>
      <c r="BO436"/>
      <c r="BP436"/>
      <c r="BQ436"/>
    </row>
    <row r="437" spans="4:69" x14ac:dyDescent="0.25">
      <c r="D437"/>
      <c r="E437"/>
      <c r="F437"/>
      <c r="G437"/>
      <c r="J437"/>
      <c r="K437"/>
      <c r="L437"/>
      <c r="M437"/>
      <c r="O437"/>
      <c r="P437"/>
      <c r="Q437"/>
      <c r="R437"/>
      <c r="S437"/>
      <c r="T437"/>
      <c r="U437"/>
      <c r="V437"/>
      <c r="Y437"/>
      <c r="Z437"/>
      <c r="AA437"/>
      <c r="AB437"/>
      <c r="AF437"/>
      <c r="AG437"/>
      <c r="AH437"/>
      <c r="AI437"/>
      <c r="AJ437"/>
      <c r="AK437"/>
      <c r="AN437"/>
      <c r="AO437"/>
      <c r="AP437"/>
      <c r="AQ437"/>
      <c r="AR437"/>
      <c r="AS437"/>
      <c r="AV437"/>
      <c r="AW437"/>
      <c r="AX437"/>
      <c r="AY437"/>
      <c r="AZ437"/>
      <c r="BA437"/>
      <c r="BL437"/>
      <c r="BM437"/>
      <c r="BN437"/>
      <c r="BO437"/>
      <c r="BP437"/>
      <c r="BQ437"/>
    </row>
    <row r="438" spans="4:69" x14ac:dyDescent="0.25">
      <c r="D438"/>
      <c r="E438"/>
      <c r="F438"/>
      <c r="G438"/>
      <c r="J438"/>
      <c r="K438"/>
      <c r="L438"/>
      <c r="M438"/>
      <c r="O438"/>
      <c r="P438"/>
      <c r="Q438"/>
      <c r="R438"/>
      <c r="S438"/>
      <c r="T438"/>
      <c r="U438"/>
      <c r="V438"/>
      <c r="Y438"/>
      <c r="Z438"/>
      <c r="AA438"/>
      <c r="AB438"/>
      <c r="AF438"/>
      <c r="AG438"/>
      <c r="AH438"/>
      <c r="AI438"/>
      <c r="AJ438"/>
      <c r="AK438"/>
      <c r="AN438"/>
      <c r="AO438"/>
      <c r="AP438"/>
      <c r="AQ438"/>
      <c r="AR438"/>
      <c r="AS438"/>
      <c r="AV438"/>
      <c r="AW438"/>
      <c r="AX438"/>
      <c r="AY438"/>
      <c r="AZ438"/>
      <c r="BA438"/>
      <c r="BL438"/>
      <c r="BM438"/>
      <c r="BN438"/>
      <c r="BO438"/>
      <c r="BP438"/>
      <c r="BQ438"/>
    </row>
    <row r="439" spans="4:69" x14ac:dyDescent="0.25">
      <c r="D439"/>
      <c r="E439"/>
      <c r="F439"/>
      <c r="G439"/>
      <c r="J439"/>
      <c r="K439"/>
      <c r="L439"/>
      <c r="M439"/>
      <c r="O439"/>
      <c r="P439"/>
      <c r="Q439"/>
      <c r="R439"/>
      <c r="S439"/>
      <c r="T439"/>
      <c r="U439"/>
      <c r="V439"/>
      <c r="Y439"/>
      <c r="Z439"/>
      <c r="AA439"/>
      <c r="AB439"/>
      <c r="AF439"/>
      <c r="AG439"/>
      <c r="AH439"/>
      <c r="AI439"/>
      <c r="AJ439"/>
      <c r="AK439"/>
      <c r="AN439"/>
      <c r="AO439"/>
      <c r="AP439"/>
      <c r="AQ439"/>
      <c r="AR439"/>
      <c r="AS439"/>
      <c r="AV439"/>
      <c r="AW439"/>
      <c r="AX439"/>
      <c r="AY439"/>
      <c r="AZ439"/>
      <c r="BA439"/>
      <c r="BL439"/>
      <c r="BM439"/>
      <c r="BN439"/>
      <c r="BO439"/>
      <c r="BP439"/>
      <c r="BQ439"/>
    </row>
    <row r="440" spans="4:69" x14ac:dyDescent="0.25">
      <c r="D440"/>
      <c r="E440"/>
      <c r="F440"/>
      <c r="G440"/>
      <c r="J440"/>
      <c r="K440"/>
      <c r="L440"/>
      <c r="M440"/>
      <c r="O440"/>
      <c r="P440"/>
      <c r="Q440"/>
      <c r="R440"/>
      <c r="S440"/>
      <c r="T440"/>
      <c r="U440"/>
      <c r="V440"/>
      <c r="Y440"/>
      <c r="Z440"/>
      <c r="AA440"/>
      <c r="AB440"/>
      <c r="AF440"/>
      <c r="AG440"/>
      <c r="AH440"/>
      <c r="AI440"/>
      <c r="AJ440"/>
      <c r="AK440"/>
      <c r="AN440"/>
      <c r="AO440"/>
      <c r="AP440"/>
      <c r="AQ440"/>
      <c r="AR440"/>
      <c r="AS440"/>
      <c r="AV440"/>
      <c r="AW440"/>
      <c r="AX440"/>
      <c r="AY440"/>
      <c r="AZ440"/>
      <c r="BA440"/>
      <c r="BL440"/>
      <c r="BM440"/>
      <c r="BN440"/>
      <c r="BO440"/>
      <c r="BP440"/>
      <c r="BQ440"/>
    </row>
    <row r="441" spans="4:69" x14ac:dyDescent="0.25">
      <c r="D441"/>
      <c r="E441"/>
      <c r="F441"/>
      <c r="G441"/>
      <c r="J441"/>
      <c r="K441"/>
      <c r="L441"/>
      <c r="M441"/>
      <c r="O441"/>
      <c r="P441"/>
      <c r="Q441"/>
      <c r="R441"/>
      <c r="S441"/>
      <c r="T441"/>
      <c r="U441"/>
      <c r="V441"/>
      <c r="Y441"/>
      <c r="Z441"/>
      <c r="AA441"/>
      <c r="AB441"/>
      <c r="AF441"/>
      <c r="AG441"/>
      <c r="AH441"/>
      <c r="AI441"/>
      <c r="AJ441"/>
      <c r="AK441"/>
      <c r="AN441"/>
      <c r="AO441"/>
      <c r="AP441"/>
      <c r="AQ441"/>
      <c r="AR441"/>
      <c r="AS441"/>
      <c r="AV441"/>
      <c r="AW441"/>
      <c r="AX441"/>
      <c r="AY441"/>
      <c r="AZ441"/>
      <c r="BA441"/>
      <c r="BL441"/>
      <c r="BM441"/>
      <c r="BN441"/>
      <c r="BO441"/>
      <c r="BP441"/>
      <c r="BQ441"/>
    </row>
    <row r="442" spans="4:69" x14ac:dyDescent="0.25">
      <c r="D442"/>
      <c r="E442"/>
      <c r="F442"/>
      <c r="G442"/>
      <c r="J442"/>
      <c r="K442"/>
      <c r="L442"/>
      <c r="M442"/>
      <c r="O442"/>
      <c r="P442"/>
      <c r="Q442"/>
      <c r="R442"/>
      <c r="S442"/>
      <c r="T442"/>
      <c r="U442"/>
      <c r="V442"/>
      <c r="Y442"/>
      <c r="Z442"/>
      <c r="AA442"/>
      <c r="AB442"/>
      <c r="AF442"/>
      <c r="AG442"/>
      <c r="AH442"/>
      <c r="AI442"/>
      <c r="AJ442"/>
      <c r="AK442"/>
      <c r="AN442"/>
      <c r="AO442"/>
      <c r="AP442"/>
      <c r="AQ442"/>
      <c r="AR442"/>
      <c r="AS442"/>
      <c r="AV442"/>
      <c r="AW442"/>
      <c r="AX442"/>
      <c r="AY442"/>
      <c r="AZ442"/>
      <c r="BA442"/>
      <c r="BL442"/>
      <c r="BM442"/>
      <c r="BN442"/>
      <c r="BO442"/>
      <c r="BP442"/>
      <c r="BQ442"/>
    </row>
    <row r="443" spans="4:69" x14ac:dyDescent="0.25">
      <c r="D443"/>
      <c r="E443"/>
      <c r="F443"/>
      <c r="G443"/>
      <c r="J443"/>
      <c r="K443"/>
      <c r="L443"/>
      <c r="M443"/>
      <c r="O443"/>
      <c r="P443"/>
      <c r="Q443"/>
      <c r="R443"/>
      <c r="S443"/>
      <c r="T443"/>
      <c r="U443"/>
      <c r="V443"/>
      <c r="Y443"/>
      <c r="Z443"/>
      <c r="AA443"/>
      <c r="AB443"/>
      <c r="AF443"/>
      <c r="AG443"/>
      <c r="AH443"/>
      <c r="AI443"/>
      <c r="AJ443"/>
      <c r="AK443"/>
      <c r="AN443"/>
      <c r="AO443"/>
      <c r="AP443"/>
      <c r="AQ443"/>
      <c r="AR443"/>
      <c r="AS443"/>
      <c r="AV443"/>
      <c r="AW443"/>
      <c r="AX443"/>
      <c r="AY443"/>
      <c r="AZ443"/>
      <c r="BA443"/>
      <c r="BL443"/>
      <c r="BM443"/>
      <c r="BN443"/>
      <c r="BO443"/>
      <c r="BP443"/>
      <c r="BQ443"/>
    </row>
    <row r="444" spans="4:69" x14ac:dyDescent="0.25">
      <c r="D444"/>
      <c r="E444"/>
      <c r="F444"/>
      <c r="G444"/>
      <c r="J444"/>
      <c r="K444"/>
      <c r="L444"/>
      <c r="M444"/>
      <c r="O444"/>
      <c r="P444"/>
      <c r="Q444"/>
      <c r="R444"/>
      <c r="S444"/>
      <c r="T444"/>
      <c r="U444"/>
      <c r="V444"/>
      <c r="Y444"/>
      <c r="Z444"/>
      <c r="AA444"/>
      <c r="AB444"/>
      <c r="AF444"/>
      <c r="AG444"/>
      <c r="AH444"/>
      <c r="AI444"/>
      <c r="AJ444"/>
      <c r="AK444"/>
      <c r="AN444"/>
      <c r="AO444"/>
      <c r="AP444"/>
      <c r="AQ444"/>
      <c r="AR444"/>
      <c r="AS444"/>
      <c r="AV444"/>
      <c r="AW444"/>
      <c r="AX444"/>
      <c r="AY444"/>
      <c r="AZ444"/>
      <c r="BA444"/>
      <c r="BL444"/>
      <c r="BM444"/>
      <c r="BN444"/>
      <c r="BO444"/>
      <c r="BP444"/>
      <c r="BQ444"/>
    </row>
    <row r="445" spans="4:69" x14ac:dyDescent="0.25">
      <c r="D445"/>
      <c r="E445"/>
      <c r="F445"/>
      <c r="G445"/>
      <c r="J445"/>
      <c r="K445"/>
      <c r="L445"/>
      <c r="M445"/>
      <c r="O445"/>
      <c r="P445"/>
      <c r="Q445"/>
      <c r="R445"/>
      <c r="S445"/>
      <c r="T445"/>
      <c r="U445"/>
      <c r="V445"/>
      <c r="Y445"/>
      <c r="Z445"/>
      <c r="AA445"/>
      <c r="AB445"/>
      <c r="AF445"/>
      <c r="AG445"/>
      <c r="AH445"/>
      <c r="AI445"/>
      <c r="AJ445"/>
      <c r="AK445"/>
      <c r="AN445"/>
      <c r="AO445"/>
      <c r="AP445"/>
      <c r="AQ445"/>
      <c r="AR445"/>
      <c r="AS445"/>
      <c r="AV445"/>
      <c r="AW445"/>
      <c r="AX445"/>
      <c r="AY445"/>
      <c r="AZ445"/>
      <c r="BA445"/>
      <c r="BL445"/>
      <c r="BM445"/>
      <c r="BN445"/>
      <c r="BO445"/>
      <c r="BP445"/>
      <c r="BQ445"/>
    </row>
    <row r="446" spans="4:69" x14ac:dyDescent="0.25">
      <c r="D446"/>
      <c r="E446"/>
      <c r="F446"/>
      <c r="G446"/>
      <c r="J446"/>
      <c r="K446"/>
      <c r="L446"/>
      <c r="M446"/>
      <c r="O446"/>
      <c r="P446"/>
      <c r="Q446"/>
      <c r="R446"/>
      <c r="S446"/>
      <c r="T446"/>
      <c r="U446"/>
      <c r="V446"/>
      <c r="Y446"/>
      <c r="Z446"/>
      <c r="AA446"/>
      <c r="AB446"/>
      <c r="AF446"/>
      <c r="AG446"/>
      <c r="AH446"/>
      <c r="AI446"/>
      <c r="AJ446"/>
      <c r="AK446"/>
      <c r="AN446"/>
      <c r="AO446"/>
      <c r="AP446"/>
      <c r="AQ446"/>
      <c r="AR446"/>
      <c r="AS446"/>
      <c r="AV446"/>
      <c r="AW446"/>
      <c r="AX446"/>
      <c r="AY446"/>
      <c r="AZ446"/>
      <c r="BA446"/>
      <c r="BL446"/>
      <c r="BM446"/>
      <c r="BN446"/>
      <c r="BO446"/>
      <c r="BP446"/>
      <c r="BQ446"/>
    </row>
    <row r="447" spans="4:69" x14ac:dyDescent="0.25">
      <c r="D447"/>
      <c r="E447"/>
      <c r="F447"/>
      <c r="G447"/>
      <c r="J447"/>
      <c r="K447"/>
      <c r="L447"/>
      <c r="M447"/>
      <c r="O447"/>
      <c r="P447"/>
      <c r="Q447"/>
      <c r="R447"/>
      <c r="S447"/>
      <c r="T447"/>
      <c r="U447"/>
      <c r="V447"/>
      <c r="Y447"/>
      <c r="Z447"/>
      <c r="AA447"/>
      <c r="AB447"/>
      <c r="AF447"/>
      <c r="AG447"/>
      <c r="AH447"/>
      <c r="AI447"/>
      <c r="AJ447"/>
      <c r="AK447"/>
      <c r="AN447"/>
      <c r="AO447"/>
      <c r="AP447"/>
      <c r="AQ447"/>
      <c r="AR447"/>
      <c r="AS447"/>
      <c r="AV447"/>
      <c r="AW447"/>
      <c r="AX447"/>
      <c r="AY447"/>
      <c r="AZ447"/>
      <c r="BA447"/>
      <c r="BL447"/>
      <c r="BM447"/>
      <c r="BN447"/>
      <c r="BO447"/>
      <c r="BP447"/>
      <c r="BQ447"/>
    </row>
    <row r="448" spans="4:69" x14ac:dyDescent="0.25">
      <c r="D448"/>
      <c r="E448"/>
      <c r="F448"/>
      <c r="G448"/>
      <c r="J448"/>
      <c r="K448"/>
      <c r="L448"/>
      <c r="M448"/>
      <c r="O448"/>
      <c r="P448"/>
      <c r="Q448"/>
      <c r="R448"/>
      <c r="S448"/>
      <c r="T448"/>
      <c r="U448"/>
      <c r="V448"/>
      <c r="Y448"/>
      <c r="Z448"/>
      <c r="AA448"/>
      <c r="AB448"/>
      <c r="AF448"/>
      <c r="AG448"/>
      <c r="AH448"/>
      <c r="AI448"/>
      <c r="AJ448"/>
      <c r="AK448"/>
      <c r="AN448"/>
      <c r="AO448"/>
      <c r="AP448"/>
      <c r="AQ448"/>
      <c r="AR448"/>
      <c r="AS448"/>
      <c r="AV448"/>
      <c r="AW448"/>
      <c r="AX448"/>
      <c r="AY448"/>
      <c r="AZ448"/>
      <c r="BA448"/>
      <c r="BL448"/>
      <c r="BM448"/>
      <c r="BN448"/>
      <c r="BO448"/>
      <c r="BP448"/>
      <c r="BQ448"/>
    </row>
    <row r="449" spans="4:69" x14ac:dyDescent="0.25">
      <c r="D449"/>
      <c r="E449"/>
      <c r="F449"/>
      <c r="G449"/>
      <c r="J449"/>
      <c r="K449"/>
      <c r="L449"/>
      <c r="M449"/>
      <c r="O449"/>
      <c r="P449"/>
      <c r="Q449"/>
      <c r="R449"/>
      <c r="S449"/>
      <c r="T449"/>
      <c r="U449"/>
      <c r="V449"/>
      <c r="Y449"/>
      <c r="Z449"/>
      <c r="AA449"/>
      <c r="AB449"/>
      <c r="AF449"/>
      <c r="AG449"/>
      <c r="AH449"/>
      <c r="AI449"/>
      <c r="AJ449"/>
      <c r="AK449"/>
      <c r="AN449"/>
      <c r="AO449"/>
      <c r="AP449"/>
      <c r="AQ449"/>
      <c r="AR449"/>
      <c r="AS449"/>
      <c r="AV449"/>
      <c r="AW449"/>
      <c r="AX449"/>
      <c r="AY449"/>
      <c r="AZ449"/>
      <c r="BA449"/>
      <c r="BL449"/>
      <c r="BM449"/>
      <c r="BN449"/>
      <c r="BO449"/>
      <c r="BP449"/>
      <c r="BQ449"/>
    </row>
    <row r="450" spans="4:69" x14ac:dyDescent="0.25">
      <c r="D450"/>
      <c r="E450"/>
      <c r="F450"/>
      <c r="G450"/>
      <c r="J450"/>
      <c r="K450"/>
      <c r="L450"/>
      <c r="M450"/>
      <c r="O450"/>
      <c r="P450"/>
      <c r="Q450"/>
      <c r="R450"/>
      <c r="S450"/>
      <c r="T450"/>
      <c r="U450"/>
      <c r="V450"/>
      <c r="Y450"/>
      <c r="Z450"/>
      <c r="AA450"/>
      <c r="AB450"/>
      <c r="AF450"/>
      <c r="AG450"/>
      <c r="AH450"/>
      <c r="AI450"/>
      <c r="AJ450"/>
      <c r="AK450"/>
      <c r="AN450"/>
      <c r="AO450"/>
      <c r="AP450"/>
      <c r="AQ450"/>
      <c r="AR450"/>
      <c r="AS450"/>
      <c r="AV450"/>
      <c r="AW450"/>
      <c r="AX450"/>
      <c r="AY450"/>
      <c r="AZ450"/>
      <c r="BA450"/>
      <c r="BL450"/>
      <c r="BM450"/>
      <c r="BN450"/>
      <c r="BO450"/>
      <c r="BP450"/>
      <c r="BQ450"/>
    </row>
    <row r="451" spans="4:69" x14ac:dyDescent="0.25">
      <c r="D451"/>
      <c r="E451"/>
      <c r="F451"/>
      <c r="G451"/>
      <c r="J451"/>
      <c r="K451"/>
      <c r="L451"/>
      <c r="M451"/>
      <c r="O451"/>
      <c r="P451"/>
      <c r="Q451"/>
      <c r="R451"/>
      <c r="S451"/>
      <c r="T451"/>
      <c r="U451"/>
      <c r="V451"/>
      <c r="Y451"/>
      <c r="Z451"/>
      <c r="AA451"/>
      <c r="AB451"/>
      <c r="AF451"/>
      <c r="AG451"/>
      <c r="AH451"/>
      <c r="AI451"/>
      <c r="AJ451"/>
      <c r="AK451"/>
      <c r="AN451"/>
      <c r="AO451"/>
      <c r="AP451"/>
      <c r="AQ451"/>
      <c r="AR451"/>
      <c r="AS451"/>
      <c r="AV451"/>
      <c r="AW451"/>
      <c r="AX451"/>
      <c r="AY451"/>
      <c r="AZ451"/>
      <c r="BA451"/>
      <c r="BL451"/>
      <c r="BM451"/>
      <c r="BN451"/>
      <c r="BO451"/>
      <c r="BP451"/>
      <c r="BQ451"/>
    </row>
    <row r="452" spans="4:69" x14ac:dyDescent="0.25">
      <c r="D452"/>
      <c r="E452"/>
      <c r="F452"/>
      <c r="G452"/>
      <c r="J452"/>
      <c r="K452"/>
      <c r="L452"/>
      <c r="M452"/>
      <c r="O452"/>
      <c r="P452"/>
      <c r="Q452"/>
      <c r="R452"/>
      <c r="S452"/>
      <c r="T452"/>
      <c r="U452"/>
      <c r="V452"/>
      <c r="Y452"/>
      <c r="Z452"/>
      <c r="AA452"/>
      <c r="AB452"/>
      <c r="AF452"/>
      <c r="AG452"/>
      <c r="AH452"/>
      <c r="AI452"/>
      <c r="AJ452"/>
      <c r="AK452"/>
      <c r="AN452"/>
      <c r="AO452"/>
      <c r="AP452"/>
      <c r="AQ452"/>
      <c r="AR452"/>
      <c r="AS452"/>
      <c r="AV452"/>
      <c r="AW452"/>
      <c r="AX452"/>
      <c r="AY452"/>
      <c r="AZ452"/>
      <c r="BA452"/>
      <c r="BL452"/>
      <c r="BM452"/>
      <c r="BN452"/>
      <c r="BO452"/>
      <c r="BP452"/>
      <c r="BQ452"/>
    </row>
    <row r="453" spans="4:69" x14ac:dyDescent="0.25">
      <c r="D453"/>
      <c r="E453"/>
      <c r="F453"/>
      <c r="G453"/>
      <c r="J453"/>
      <c r="K453"/>
      <c r="L453"/>
      <c r="M453"/>
      <c r="O453"/>
      <c r="P453"/>
      <c r="Q453"/>
      <c r="R453"/>
      <c r="S453"/>
      <c r="T453"/>
      <c r="U453"/>
      <c r="V453"/>
      <c r="Y453"/>
      <c r="Z453"/>
      <c r="AA453"/>
      <c r="AB453"/>
      <c r="AF453"/>
      <c r="AG453"/>
      <c r="AH453"/>
      <c r="AI453"/>
      <c r="AJ453"/>
      <c r="AK453"/>
      <c r="AN453"/>
      <c r="AO453"/>
      <c r="AP453"/>
      <c r="AQ453"/>
      <c r="AR453"/>
      <c r="AS453"/>
      <c r="AV453"/>
      <c r="AW453"/>
      <c r="AX453"/>
      <c r="AY453"/>
      <c r="AZ453"/>
      <c r="BA453"/>
      <c r="BL453"/>
      <c r="BM453"/>
      <c r="BN453"/>
      <c r="BO453"/>
      <c r="BP453"/>
      <c r="BQ453"/>
    </row>
    <row r="454" spans="4:69" x14ac:dyDescent="0.25">
      <c r="D454"/>
      <c r="E454"/>
      <c r="F454"/>
      <c r="G454"/>
      <c r="J454"/>
      <c r="K454"/>
      <c r="L454"/>
      <c r="M454"/>
      <c r="O454"/>
      <c r="P454"/>
      <c r="Q454"/>
      <c r="R454"/>
      <c r="S454"/>
      <c r="T454"/>
      <c r="U454"/>
      <c r="V454"/>
      <c r="Y454"/>
      <c r="Z454"/>
      <c r="AA454"/>
      <c r="AB454"/>
      <c r="AF454"/>
      <c r="AG454"/>
      <c r="AH454"/>
      <c r="AI454"/>
      <c r="AJ454"/>
      <c r="AK454"/>
      <c r="AN454"/>
      <c r="AO454"/>
      <c r="AP454"/>
      <c r="AQ454"/>
      <c r="AR454"/>
      <c r="AS454"/>
      <c r="AV454"/>
      <c r="AW454"/>
      <c r="AX454"/>
      <c r="AY454"/>
      <c r="AZ454"/>
      <c r="BA454"/>
      <c r="BL454"/>
      <c r="BM454"/>
      <c r="BN454"/>
      <c r="BO454"/>
      <c r="BP454"/>
      <c r="BQ454"/>
    </row>
    <row r="455" spans="4:69" x14ac:dyDescent="0.25">
      <c r="D455"/>
      <c r="E455"/>
      <c r="F455"/>
      <c r="G455"/>
      <c r="J455"/>
      <c r="K455"/>
      <c r="L455"/>
      <c r="M455"/>
      <c r="O455"/>
      <c r="P455"/>
      <c r="Q455"/>
      <c r="R455"/>
      <c r="S455"/>
      <c r="T455"/>
      <c r="U455"/>
      <c r="V455"/>
      <c r="Y455"/>
      <c r="Z455"/>
      <c r="AA455"/>
      <c r="AB455"/>
      <c r="AF455"/>
      <c r="AG455"/>
      <c r="AH455"/>
      <c r="AI455"/>
      <c r="AJ455"/>
      <c r="AK455"/>
      <c r="AN455"/>
      <c r="AO455"/>
      <c r="AP455"/>
      <c r="AQ455"/>
      <c r="AR455"/>
      <c r="AS455"/>
      <c r="AV455"/>
      <c r="AW455"/>
      <c r="AX455"/>
      <c r="AY455"/>
      <c r="AZ455"/>
      <c r="BA455"/>
      <c r="BL455"/>
      <c r="BM455"/>
      <c r="BN455"/>
      <c r="BO455"/>
      <c r="BP455"/>
      <c r="BQ455"/>
    </row>
    <row r="456" spans="4:69" x14ac:dyDescent="0.25">
      <c r="D456"/>
      <c r="E456"/>
      <c r="F456"/>
      <c r="G456"/>
      <c r="J456"/>
      <c r="K456"/>
      <c r="L456"/>
      <c r="M456"/>
      <c r="O456"/>
      <c r="P456"/>
      <c r="Q456"/>
      <c r="R456"/>
      <c r="S456"/>
      <c r="T456"/>
      <c r="U456"/>
      <c r="V456"/>
      <c r="Y456"/>
      <c r="Z456"/>
      <c r="AA456"/>
      <c r="AB456"/>
      <c r="AF456"/>
      <c r="AG456"/>
      <c r="AH456"/>
      <c r="AI456"/>
      <c r="AJ456"/>
      <c r="AK456"/>
      <c r="AN456"/>
      <c r="AO456"/>
      <c r="AP456"/>
      <c r="AQ456"/>
      <c r="AR456"/>
      <c r="AS456"/>
      <c r="AV456"/>
      <c r="AW456"/>
      <c r="AX456"/>
      <c r="AY456"/>
      <c r="AZ456"/>
      <c r="BA456"/>
      <c r="BL456"/>
      <c r="BM456"/>
      <c r="BN456"/>
      <c r="BO456"/>
      <c r="BP456"/>
      <c r="BQ456"/>
    </row>
    <row r="457" spans="4:69" x14ac:dyDescent="0.25">
      <c r="D457"/>
      <c r="E457"/>
      <c r="F457"/>
      <c r="G457"/>
      <c r="J457"/>
      <c r="K457"/>
      <c r="L457"/>
      <c r="M457"/>
      <c r="O457"/>
      <c r="P457"/>
      <c r="Q457"/>
      <c r="R457"/>
      <c r="S457"/>
      <c r="T457"/>
      <c r="U457"/>
      <c r="V457"/>
      <c r="Y457"/>
      <c r="Z457"/>
      <c r="AA457"/>
      <c r="AB457"/>
      <c r="AF457"/>
      <c r="AG457"/>
      <c r="AH457"/>
      <c r="AI457"/>
      <c r="AJ457"/>
      <c r="AK457"/>
      <c r="AN457"/>
      <c r="AO457"/>
      <c r="AP457"/>
      <c r="AQ457"/>
      <c r="AR457"/>
      <c r="AS457"/>
      <c r="AV457"/>
      <c r="AW457"/>
      <c r="AX457"/>
      <c r="AY457"/>
      <c r="AZ457"/>
      <c r="BA457"/>
      <c r="BL457"/>
      <c r="BM457"/>
      <c r="BN457"/>
      <c r="BO457"/>
      <c r="BP457"/>
      <c r="BQ457"/>
    </row>
    <row r="458" spans="4:69" x14ac:dyDescent="0.25">
      <c r="D458"/>
      <c r="E458"/>
      <c r="F458"/>
      <c r="G458"/>
      <c r="J458"/>
      <c r="K458"/>
      <c r="L458"/>
      <c r="M458"/>
      <c r="O458"/>
      <c r="P458"/>
      <c r="Q458"/>
      <c r="R458"/>
      <c r="S458"/>
      <c r="T458"/>
      <c r="U458"/>
      <c r="V458"/>
      <c r="Y458"/>
      <c r="Z458"/>
      <c r="AA458"/>
      <c r="AB458"/>
      <c r="AF458"/>
      <c r="AG458"/>
      <c r="AH458"/>
      <c r="AI458"/>
      <c r="AJ458"/>
      <c r="AK458"/>
      <c r="AN458"/>
      <c r="AO458"/>
      <c r="AP458"/>
      <c r="AQ458"/>
      <c r="AR458"/>
      <c r="AS458"/>
      <c r="AV458"/>
      <c r="AW458"/>
      <c r="AX458"/>
      <c r="AY458"/>
      <c r="AZ458"/>
      <c r="BA458"/>
      <c r="BL458"/>
      <c r="BM458"/>
      <c r="BN458"/>
      <c r="BO458"/>
      <c r="BP458"/>
      <c r="BQ458"/>
    </row>
    <row r="459" spans="4:69" x14ac:dyDescent="0.25">
      <c r="D459"/>
      <c r="E459"/>
      <c r="F459"/>
      <c r="G459"/>
      <c r="J459"/>
      <c r="K459"/>
      <c r="L459"/>
      <c r="M459"/>
      <c r="O459"/>
      <c r="P459"/>
      <c r="Q459"/>
      <c r="R459"/>
      <c r="S459"/>
      <c r="T459"/>
      <c r="U459"/>
      <c r="V459"/>
      <c r="Y459"/>
      <c r="Z459"/>
      <c r="AA459"/>
      <c r="AB459"/>
      <c r="AF459"/>
      <c r="AG459"/>
      <c r="AH459"/>
      <c r="AI459"/>
      <c r="AJ459"/>
      <c r="AK459"/>
      <c r="AN459"/>
      <c r="AO459"/>
      <c r="AP459"/>
      <c r="AQ459"/>
      <c r="AR459"/>
      <c r="AS459"/>
      <c r="AV459"/>
      <c r="AW459"/>
      <c r="AX459"/>
      <c r="AY459"/>
      <c r="AZ459"/>
      <c r="BA459"/>
      <c r="BL459"/>
      <c r="BM459"/>
      <c r="BN459"/>
      <c r="BO459"/>
      <c r="BP459"/>
      <c r="BQ459"/>
    </row>
    <row r="460" spans="4:69" x14ac:dyDescent="0.25">
      <c r="D460"/>
      <c r="E460"/>
      <c r="F460"/>
      <c r="G460"/>
      <c r="J460"/>
      <c r="K460"/>
      <c r="L460"/>
      <c r="M460"/>
      <c r="O460"/>
      <c r="P460"/>
      <c r="Q460"/>
      <c r="R460"/>
      <c r="S460"/>
      <c r="T460"/>
      <c r="U460"/>
      <c r="V460"/>
      <c r="Y460"/>
      <c r="Z460"/>
      <c r="AA460"/>
      <c r="AB460"/>
      <c r="AF460"/>
      <c r="AG460"/>
      <c r="AH460"/>
      <c r="AI460"/>
      <c r="AJ460"/>
      <c r="AK460"/>
      <c r="AN460"/>
      <c r="AO460"/>
      <c r="AP460"/>
      <c r="AQ460"/>
      <c r="AR460"/>
      <c r="AS460"/>
      <c r="AV460"/>
      <c r="AW460"/>
      <c r="AX460"/>
      <c r="AY460"/>
      <c r="AZ460"/>
      <c r="BA460"/>
      <c r="BL460"/>
      <c r="BM460"/>
      <c r="BN460"/>
      <c r="BO460"/>
      <c r="BP460"/>
      <c r="BQ460"/>
    </row>
    <row r="461" spans="4:69" x14ac:dyDescent="0.25">
      <c r="D461"/>
      <c r="E461"/>
      <c r="F461"/>
      <c r="G461"/>
      <c r="J461"/>
      <c r="K461"/>
      <c r="L461"/>
      <c r="M461"/>
      <c r="O461"/>
      <c r="P461"/>
      <c r="Q461"/>
      <c r="R461"/>
      <c r="S461"/>
      <c r="T461"/>
      <c r="U461"/>
      <c r="V461"/>
      <c r="Y461"/>
      <c r="Z461"/>
      <c r="AA461"/>
      <c r="AB461"/>
      <c r="AF461"/>
      <c r="AG461"/>
      <c r="AH461"/>
      <c r="AI461"/>
      <c r="AJ461"/>
      <c r="AK461"/>
      <c r="AN461"/>
      <c r="AO461"/>
      <c r="AP461"/>
      <c r="AQ461"/>
      <c r="AR461"/>
      <c r="AS461"/>
      <c r="AV461"/>
      <c r="AW461"/>
      <c r="AX461"/>
      <c r="AY461"/>
      <c r="AZ461"/>
      <c r="BA461"/>
      <c r="BL461"/>
      <c r="BM461"/>
      <c r="BN461"/>
      <c r="BO461"/>
      <c r="BP461"/>
      <c r="BQ461"/>
    </row>
    <row r="462" spans="4:69" x14ac:dyDescent="0.25">
      <c r="D462"/>
      <c r="E462"/>
      <c r="F462"/>
      <c r="G462"/>
      <c r="J462"/>
      <c r="K462"/>
      <c r="L462"/>
      <c r="M462"/>
      <c r="O462"/>
      <c r="P462"/>
      <c r="Q462"/>
      <c r="R462"/>
      <c r="S462"/>
      <c r="T462"/>
      <c r="U462"/>
      <c r="V462"/>
      <c r="Y462"/>
      <c r="Z462"/>
      <c r="AA462"/>
      <c r="AB462"/>
      <c r="AF462"/>
      <c r="AG462"/>
      <c r="AH462"/>
      <c r="AI462"/>
      <c r="AJ462"/>
      <c r="AK462"/>
      <c r="AN462"/>
      <c r="AO462"/>
      <c r="AP462"/>
      <c r="AQ462"/>
      <c r="AR462"/>
      <c r="AS462"/>
      <c r="AV462"/>
      <c r="AW462"/>
      <c r="AX462"/>
      <c r="AY462"/>
      <c r="AZ462"/>
      <c r="BA462"/>
      <c r="BL462"/>
      <c r="BM462"/>
      <c r="BN462"/>
      <c r="BO462"/>
      <c r="BP462"/>
      <c r="BQ462"/>
    </row>
    <row r="463" spans="4:69" x14ac:dyDescent="0.25">
      <c r="D463"/>
      <c r="E463"/>
      <c r="F463"/>
      <c r="G463"/>
      <c r="J463"/>
      <c r="K463"/>
      <c r="L463"/>
      <c r="M463"/>
      <c r="O463"/>
      <c r="P463"/>
      <c r="Q463"/>
      <c r="R463"/>
      <c r="S463"/>
      <c r="T463"/>
      <c r="U463"/>
      <c r="V463"/>
      <c r="Y463"/>
      <c r="Z463"/>
      <c r="AA463"/>
      <c r="AB463"/>
      <c r="AF463"/>
      <c r="AG463"/>
      <c r="AH463"/>
      <c r="AI463"/>
      <c r="AJ463"/>
      <c r="AK463"/>
      <c r="AN463"/>
      <c r="AO463"/>
      <c r="AP463"/>
      <c r="AQ463"/>
      <c r="AR463"/>
      <c r="AS463"/>
      <c r="AV463"/>
      <c r="AW463"/>
      <c r="AX463"/>
      <c r="AY463"/>
      <c r="AZ463"/>
      <c r="BA463"/>
      <c r="BL463"/>
      <c r="BM463"/>
      <c r="BN463"/>
      <c r="BO463"/>
      <c r="BP463"/>
      <c r="BQ463"/>
    </row>
    <row r="464" spans="4:69" x14ac:dyDescent="0.25">
      <c r="D464"/>
      <c r="E464"/>
      <c r="F464"/>
      <c r="G464"/>
      <c r="J464"/>
      <c r="K464"/>
      <c r="L464"/>
      <c r="M464"/>
      <c r="O464"/>
      <c r="P464"/>
      <c r="Q464"/>
      <c r="R464"/>
      <c r="S464"/>
      <c r="T464"/>
      <c r="U464"/>
      <c r="V464"/>
      <c r="Y464"/>
      <c r="Z464"/>
      <c r="AA464"/>
      <c r="AB464"/>
      <c r="AF464"/>
      <c r="AG464"/>
      <c r="AH464"/>
      <c r="AI464"/>
      <c r="AJ464"/>
      <c r="AK464"/>
      <c r="AN464"/>
      <c r="AO464"/>
      <c r="AP464"/>
      <c r="AQ464"/>
      <c r="AR464"/>
      <c r="AS464"/>
      <c r="AV464"/>
      <c r="AW464"/>
      <c r="AX464"/>
      <c r="AY464"/>
      <c r="AZ464"/>
      <c r="BA464"/>
      <c r="BL464"/>
      <c r="BM464"/>
      <c r="BN464"/>
      <c r="BO464"/>
      <c r="BP464"/>
      <c r="BQ464"/>
    </row>
    <row r="465" spans="4:69" x14ac:dyDescent="0.25">
      <c r="D465"/>
      <c r="E465"/>
      <c r="F465"/>
      <c r="G465"/>
      <c r="J465"/>
      <c r="K465"/>
      <c r="L465"/>
      <c r="M465"/>
      <c r="O465"/>
      <c r="P465"/>
      <c r="Q465"/>
      <c r="R465"/>
      <c r="S465"/>
      <c r="T465"/>
      <c r="U465"/>
      <c r="V465"/>
      <c r="Y465"/>
      <c r="Z465"/>
      <c r="AA465"/>
      <c r="AB465"/>
      <c r="AF465"/>
      <c r="AG465"/>
      <c r="AH465"/>
      <c r="AI465"/>
      <c r="AJ465"/>
      <c r="AK465"/>
      <c r="AN465"/>
      <c r="AO465"/>
      <c r="AP465"/>
      <c r="AQ465"/>
      <c r="AR465"/>
      <c r="AS465"/>
      <c r="AV465"/>
      <c r="AW465"/>
      <c r="AX465"/>
      <c r="AY465"/>
      <c r="AZ465"/>
      <c r="BA465"/>
      <c r="BL465"/>
      <c r="BM465"/>
      <c r="BN465"/>
      <c r="BO465"/>
      <c r="BP465"/>
      <c r="BQ465"/>
    </row>
    <row r="466" spans="4:69" x14ac:dyDescent="0.25">
      <c r="D466"/>
      <c r="E466"/>
      <c r="F466"/>
      <c r="G466"/>
      <c r="J466"/>
      <c r="K466"/>
      <c r="L466"/>
      <c r="M466"/>
      <c r="O466"/>
      <c r="P466"/>
      <c r="Q466"/>
      <c r="R466"/>
      <c r="S466"/>
      <c r="T466"/>
      <c r="U466"/>
      <c r="V466"/>
      <c r="Y466"/>
      <c r="Z466"/>
      <c r="AA466"/>
      <c r="AB466"/>
      <c r="AF466"/>
      <c r="AG466"/>
      <c r="AH466"/>
      <c r="AI466"/>
      <c r="AJ466"/>
      <c r="AK466"/>
      <c r="AN466"/>
      <c r="AO466"/>
      <c r="AP466"/>
      <c r="AQ466"/>
      <c r="AR466"/>
      <c r="AS466"/>
      <c r="AV466"/>
      <c r="AW466"/>
      <c r="AX466"/>
      <c r="AY466"/>
      <c r="AZ466"/>
      <c r="BA466"/>
      <c r="BL466"/>
      <c r="BM466"/>
      <c r="BN466"/>
      <c r="BO466"/>
      <c r="BP466"/>
      <c r="BQ466"/>
    </row>
    <row r="467" spans="4:69" x14ac:dyDescent="0.25">
      <c r="D467"/>
      <c r="E467"/>
      <c r="F467"/>
      <c r="G467"/>
      <c r="J467"/>
      <c r="K467"/>
      <c r="L467"/>
      <c r="M467"/>
      <c r="O467"/>
      <c r="P467"/>
      <c r="Q467"/>
      <c r="R467"/>
      <c r="S467"/>
      <c r="T467"/>
      <c r="U467"/>
      <c r="V467"/>
      <c r="Y467"/>
      <c r="Z467"/>
      <c r="AA467"/>
      <c r="AB467"/>
      <c r="AF467"/>
      <c r="AG467"/>
      <c r="AH467"/>
      <c r="AI467"/>
      <c r="AJ467"/>
      <c r="AK467"/>
      <c r="AN467"/>
      <c r="AO467"/>
      <c r="AP467"/>
      <c r="AQ467"/>
      <c r="AR467"/>
      <c r="AS467"/>
      <c r="AV467"/>
      <c r="AW467"/>
      <c r="AX467"/>
      <c r="AY467"/>
      <c r="AZ467"/>
      <c r="BA467"/>
      <c r="BL467"/>
      <c r="BM467"/>
      <c r="BN467"/>
      <c r="BO467"/>
      <c r="BP467"/>
      <c r="BQ467"/>
    </row>
    <row r="468" spans="4:69" x14ac:dyDescent="0.25">
      <c r="D468"/>
      <c r="E468"/>
      <c r="F468"/>
      <c r="G468"/>
      <c r="J468"/>
      <c r="K468"/>
      <c r="L468"/>
      <c r="M468"/>
      <c r="O468"/>
      <c r="P468"/>
      <c r="Q468"/>
      <c r="R468"/>
      <c r="S468"/>
      <c r="T468"/>
      <c r="U468"/>
      <c r="V468"/>
      <c r="Y468"/>
      <c r="Z468"/>
      <c r="AA468"/>
      <c r="AB468"/>
      <c r="AF468"/>
      <c r="AG468"/>
      <c r="AH468"/>
      <c r="AI468"/>
      <c r="AJ468"/>
      <c r="AK468"/>
      <c r="AN468"/>
      <c r="AO468"/>
      <c r="AP468"/>
      <c r="AQ468"/>
      <c r="AR468"/>
      <c r="AS468"/>
      <c r="AV468"/>
      <c r="AW468"/>
      <c r="AX468"/>
      <c r="AY468"/>
      <c r="AZ468"/>
      <c r="BA468"/>
      <c r="BL468"/>
      <c r="BM468"/>
      <c r="BN468"/>
      <c r="BO468"/>
      <c r="BP468"/>
      <c r="BQ468"/>
    </row>
    <row r="469" spans="4:69" x14ac:dyDescent="0.25">
      <c r="D469"/>
      <c r="E469"/>
      <c r="F469"/>
      <c r="G469"/>
      <c r="J469"/>
      <c r="K469"/>
      <c r="L469"/>
      <c r="M469"/>
      <c r="O469"/>
      <c r="P469"/>
      <c r="Q469"/>
      <c r="R469"/>
      <c r="S469"/>
      <c r="T469"/>
      <c r="U469"/>
      <c r="V469"/>
      <c r="Y469"/>
      <c r="Z469"/>
      <c r="AA469"/>
      <c r="AB469"/>
      <c r="AF469"/>
      <c r="AG469"/>
      <c r="AH469"/>
      <c r="AI469"/>
      <c r="AJ469"/>
      <c r="AK469"/>
      <c r="AN469"/>
      <c r="AO469"/>
      <c r="AP469"/>
      <c r="AQ469"/>
      <c r="AR469"/>
      <c r="AS469"/>
      <c r="AV469"/>
      <c r="AW469"/>
      <c r="AX469"/>
      <c r="AY469"/>
      <c r="AZ469"/>
      <c r="BA469"/>
      <c r="BL469"/>
      <c r="BM469"/>
      <c r="BN469"/>
      <c r="BO469"/>
      <c r="BP469"/>
      <c r="BQ469"/>
    </row>
    <row r="470" spans="4:69" x14ac:dyDescent="0.25">
      <c r="D470"/>
      <c r="E470"/>
      <c r="F470"/>
      <c r="G470"/>
      <c r="J470"/>
      <c r="K470"/>
      <c r="L470"/>
      <c r="M470"/>
      <c r="O470"/>
      <c r="P470"/>
      <c r="Q470"/>
      <c r="R470"/>
      <c r="S470"/>
      <c r="T470"/>
      <c r="U470"/>
      <c r="V470"/>
      <c r="Y470"/>
      <c r="Z470"/>
      <c r="AA470"/>
      <c r="AB470"/>
      <c r="AF470"/>
      <c r="AG470"/>
      <c r="AH470"/>
      <c r="AI470"/>
      <c r="AJ470"/>
      <c r="AK470"/>
      <c r="AN470"/>
      <c r="AO470"/>
      <c r="AP470"/>
      <c r="AQ470"/>
      <c r="AR470"/>
      <c r="AS470"/>
      <c r="AV470"/>
      <c r="AW470"/>
      <c r="AX470"/>
      <c r="AY470"/>
      <c r="AZ470"/>
      <c r="BA470"/>
      <c r="BL470"/>
      <c r="BM470"/>
      <c r="BN470"/>
      <c r="BO470"/>
      <c r="BP470"/>
      <c r="BQ470"/>
    </row>
    <row r="471" spans="4:69" x14ac:dyDescent="0.25">
      <c r="D471"/>
      <c r="E471"/>
      <c r="F471"/>
      <c r="G471"/>
      <c r="J471"/>
      <c r="K471"/>
      <c r="L471"/>
      <c r="M471"/>
      <c r="O471"/>
      <c r="P471"/>
      <c r="Q471"/>
      <c r="R471"/>
      <c r="S471"/>
      <c r="T471"/>
      <c r="U471"/>
      <c r="V471"/>
      <c r="Y471"/>
      <c r="Z471"/>
      <c r="AA471"/>
      <c r="AB471"/>
      <c r="AF471"/>
      <c r="AG471"/>
      <c r="AH471"/>
      <c r="AI471"/>
      <c r="AJ471"/>
      <c r="AK471"/>
      <c r="AN471"/>
      <c r="AO471"/>
      <c r="AP471"/>
      <c r="AQ471"/>
      <c r="AR471"/>
      <c r="AS471"/>
      <c r="AV471"/>
      <c r="AW471"/>
      <c r="AX471"/>
      <c r="AY471"/>
      <c r="AZ471"/>
      <c r="BA471"/>
      <c r="BL471"/>
      <c r="BM471"/>
      <c r="BN471"/>
      <c r="BO471"/>
      <c r="BP471"/>
      <c r="BQ471"/>
    </row>
    <row r="472" spans="4:69" x14ac:dyDescent="0.25">
      <c r="D472"/>
      <c r="E472"/>
      <c r="F472"/>
      <c r="G472"/>
      <c r="J472"/>
      <c r="K472"/>
      <c r="L472"/>
      <c r="M472"/>
      <c r="O472"/>
      <c r="P472"/>
      <c r="Q472"/>
      <c r="R472"/>
      <c r="S472"/>
      <c r="T472"/>
      <c r="U472"/>
      <c r="V472"/>
      <c r="Y472"/>
      <c r="Z472"/>
      <c r="AA472"/>
      <c r="AB472"/>
      <c r="AF472"/>
      <c r="AG472"/>
      <c r="AH472"/>
      <c r="AI472"/>
      <c r="AJ472"/>
      <c r="AK472"/>
      <c r="AN472"/>
      <c r="AO472"/>
      <c r="AP472"/>
      <c r="AQ472"/>
      <c r="AR472"/>
      <c r="AS472"/>
      <c r="AV472"/>
      <c r="AW472"/>
      <c r="AX472"/>
      <c r="AY472"/>
      <c r="AZ472"/>
      <c r="BA472"/>
      <c r="BL472"/>
      <c r="BM472"/>
      <c r="BN472"/>
      <c r="BO472"/>
      <c r="BP472"/>
      <c r="BQ472"/>
    </row>
    <row r="473" spans="4:69" x14ac:dyDescent="0.25">
      <c r="D473"/>
      <c r="E473"/>
      <c r="F473"/>
      <c r="G473"/>
      <c r="J473"/>
      <c r="K473"/>
      <c r="L473"/>
      <c r="M473"/>
      <c r="O473"/>
      <c r="P473"/>
      <c r="Q473"/>
      <c r="R473"/>
      <c r="S473"/>
      <c r="T473"/>
      <c r="U473"/>
      <c r="V473"/>
      <c r="Y473"/>
      <c r="Z473"/>
      <c r="AA473"/>
      <c r="AB473"/>
      <c r="AF473"/>
      <c r="AG473"/>
      <c r="AH473"/>
      <c r="AI473"/>
      <c r="AJ473"/>
      <c r="AK473"/>
      <c r="AN473"/>
      <c r="AO473"/>
      <c r="AP473"/>
      <c r="AQ473"/>
      <c r="AR473"/>
      <c r="AS473"/>
      <c r="AV473"/>
      <c r="AW473"/>
      <c r="AX473"/>
      <c r="AY473"/>
      <c r="AZ473"/>
      <c r="BA473"/>
      <c r="BL473"/>
      <c r="BM473"/>
      <c r="BN473"/>
      <c r="BO473"/>
      <c r="BP473"/>
      <c r="BQ473"/>
    </row>
    <row r="474" spans="4:69" x14ac:dyDescent="0.25">
      <c r="D474"/>
      <c r="E474"/>
      <c r="F474"/>
      <c r="G474"/>
      <c r="J474"/>
      <c r="K474"/>
      <c r="L474"/>
      <c r="M474"/>
      <c r="O474"/>
      <c r="P474"/>
      <c r="Q474"/>
      <c r="R474"/>
      <c r="S474"/>
      <c r="T474"/>
      <c r="U474"/>
      <c r="V474"/>
      <c r="Y474"/>
      <c r="Z474"/>
      <c r="AA474"/>
      <c r="AB474"/>
      <c r="AF474"/>
      <c r="AG474"/>
      <c r="AH474"/>
      <c r="AI474"/>
      <c r="AJ474"/>
      <c r="AK474"/>
      <c r="AN474"/>
      <c r="AO474"/>
      <c r="AP474"/>
      <c r="AQ474"/>
      <c r="AR474"/>
      <c r="AS474"/>
      <c r="AV474"/>
      <c r="AW474"/>
      <c r="AX474"/>
      <c r="AY474"/>
      <c r="AZ474"/>
      <c r="BA474"/>
      <c r="BL474"/>
      <c r="BM474"/>
      <c r="BN474"/>
      <c r="BO474"/>
      <c r="BP474"/>
      <c r="BQ474"/>
    </row>
    <row r="475" spans="4:69" x14ac:dyDescent="0.25">
      <c r="D475"/>
      <c r="E475"/>
      <c r="F475"/>
      <c r="G475"/>
      <c r="J475"/>
      <c r="K475"/>
      <c r="L475"/>
      <c r="M475"/>
      <c r="O475"/>
      <c r="P475"/>
      <c r="Q475"/>
      <c r="R475"/>
      <c r="S475"/>
      <c r="T475"/>
      <c r="U475"/>
      <c r="V475"/>
      <c r="Y475"/>
      <c r="Z475"/>
      <c r="AA475"/>
      <c r="AB475"/>
      <c r="AF475"/>
      <c r="AG475"/>
      <c r="AH475"/>
      <c r="AI475"/>
      <c r="AJ475"/>
      <c r="AK475"/>
      <c r="AN475"/>
      <c r="AO475"/>
      <c r="AP475"/>
      <c r="AQ475"/>
      <c r="AR475"/>
      <c r="AS475"/>
      <c r="AV475"/>
      <c r="AW475"/>
      <c r="AX475"/>
      <c r="AY475"/>
      <c r="AZ475"/>
      <c r="BA475"/>
      <c r="BL475"/>
      <c r="BM475"/>
      <c r="BN475"/>
      <c r="BO475"/>
      <c r="BP475"/>
      <c r="BQ475"/>
    </row>
    <row r="476" spans="4:69" x14ac:dyDescent="0.25">
      <c r="D476"/>
      <c r="E476"/>
      <c r="F476"/>
      <c r="G476"/>
      <c r="J476"/>
      <c r="K476"/>
      <c r="L476"/>
      <c r="M476"/>
      <c r="O476"/>
      <c r="P476"/>
      <c r="Q476"/>
      <c r="R476"/>
      <c r="S476"/>
      <c r="T476"/>
      <c r="U476"/>
      <c r="V476"/>
      <c r="Y476"/>
      <c r="Z476"/>
      <c r="AA476"/>
      <c r="AB476"/>
      <c r="AF476"/>
      <c r="AG476"/>
      <c r="AH476"/>
      <c r="AI476"/>
      <c r="AJ476"/>
      <c r="AK476"/>
      <c r="AN476"/>
      <c r="AO476"/>
      <c r="AP476"/>
      <c r="AQ476"/>
      <c r="AR476"/>
      <c r="AS476"/>
      <c r="AV476"/>
      <c r="AW476"/>
      <c r="AX476"/>
      <c r="AY476"/>
      <c r="AZ476"/>
      <c r="BA476"/>
      <c r="BL476"/>
      <c r="BM476"/>
      <c r="BN476"/>
      <c r="BO476"/>
      <c r="BP476"/>
      <c r="BQ476"/>
    </row>
    <row r="477" spans="4:69" x14ac:dyDescent="0.25">
      <c r="D477"/>
      <c r="E477"/>
      <c r="F477"/>
      <c r="G477"/>
      <c r="J477"/>
      <c r="K477"/>
      <c r="L477"/>
      <c r="M477"/>
      <c r="O477"/>
      <c r="P477"/>
      <c r="Q477"/>
      <c r="R477"/>
      <c r="S477"/>
      <c r="T477"/>
      <c r="U477"/>
      <c r="V477"/>
      <c r="Y477"/>
      <c r="Z477"/>
      <c r="AA477"/>
      <c r="AB477"/>
      <c r="AF477"/>
      <c r="AG477"/>
      <c r="AH477"/>
      <c r="AI477"/>
      <c r="AJ477"/>
      <c r="AK477"/>
      <c r="AN477"/>
      <c r="AO477"/>
      <c r="AP477"/>
      <c r="AQ477"/>
      <c r="AR477"/>
      <c r="AS477"/>
      <c r="AV477"/>
      <c r="AW477"/>
      <c r="AX477"/>
      <c r="AY477"/>
      <c r="AZ477"/>
      <c r="BA477"/>
      <c r="BL477"/>
      <c r="BM477"/>
      <c r="BN477"/>
      <c r="BO477"/>
      <c r="BP477"/>
      <c r="BQ477"/>
    </row>
    <row r="478" spans="4:69" x14ac:dyDescent="0.25">
      <c r="D478"/>
      <c r="E478"/>
      <c r="F478"/>
      <c r="G478"/>
      <c r="J478"/>
      <c r="K478"/>
      <c r="L478"/>
      <c r="M478"/>
      <c r="O478"/>
      <c r="P478"/>
      <c r="Q478"/>
      <c r="R478"/>
      <c r="S478"/>
      <c r="T478"/>
      <c r="U478"/>
      <c r="V478"/>
      <c r="Y478"/>
      <c r="Z478"/>
      <c r="AA478"/>
      <c r="AB478"/>
      <c r="AF478"/>
      <c r="AG478"/>
      <c r="AH478"/>
      <c r="AI478"/>
      <c r="AJ478"/>
      <c r="AK478"/>
      <c r="AN478"/>
      <c r="AO478"/>
      <c r="AP478"/>
      <c r="AQ478"/>
      <c r="AR478"/>
      <c r="AS478"/>
      <c r="AV478"/>
      <c r="AW478"/>
      <c r="AX478"/>
      <c r="AY478"/>
      <c r="AZ478"/>
      <c r="BA478"/>
      <c r="BL478"/>
      <c r="BM478"/>
      <c r="BN478"/>
      <c r="BO478"/>
      <c r="BP478"/>
      <c r="BQ478"/>
    </row>
    <row r="479" spans="4:69" x14ac:dyDescent="0.25">
      <c r="D479"/>
      <c r="E479"/>
      <c r="F479"/>
      <c r="G479"/>
      <c r="J479"/>
      <c r="K479"/>
      <c r="L479"/>
      <c r="M479"/>
      <c r="O479"/>
      <c r="P479"/>
      <c r="Q479"/>
      <c r="R479"/>
      <c r="S479"/>
      <c r="T479"/>
      <c r="U479"/>
      <c r="V479"/>
      <c r="Y479"/>
      <c r="Z479"/>
      <c r="AA479"/>
      <c r="AB479"/>
      <c r="AF479"/>
      <c r="AG479"/>
      <c r="AH479"/>
      <c r="AI479"/>
      <c r="AJ479"/>
      <c r="AK479"/>
      <c r="AN479"/>
      <c r="AO479"/>
      <c r="AP479"/>
      <c r="AQ479"/>
      <c r="AR479"/>
      <c r="AS479"/>
      <c r="AV479"/>
      <c r="AW479"/>
      <c r="AX479"/>
      <c r="AY479"/>
      <c r="AZ479"/>
      <c r="BA479"/>
      <c r="BL479"/>
      <c r="BM479"/>
      <c r="BN479"/>
      <c r="BO479"/>
      <c r="BP479"/>
      <c r="BQ479"/>
    </row>
    <row r="480" spans="4:69" x14ac:dyDescent="0.25">
      <c r="D480"/>
      <c r="E480"/>
      <c r="F480"/>
      <c r="G480"/>
      <c r="J480"/>
      <c r="K480"/>
      <c r="L480"/>
      <c r="M480"/>
      <c r="O480"/>
      <c r="P480"/>
      <c r="Q480"/>
      <c r="R480"/>
      <c r="S480"/>
      <c r="T480"/>
      <c r="U480"/>
      <c r="V480"/>
      <c r="Y480"/>
      <c r="Z480"/>
      <c r="AA480"/>
      <c r="AB480"/>
      <c r="AF480"/>
      <c r="AG480"/>
      <c r="AH480"/>
      <c r="AI480"/>
      <c r="AJ480"/>
      <c r="AK480"/>
      <c r="AN480"/>
      <c r="AO480"/>
      <c r="AP480"/>
      <c r="AQ480"/>
      <c r="AR480"/>
      <c r="AS480"/>
      <c r="AV480"/>
      <c r="AW480"/>
      <c r="AX480"/>
      <c r="AY480"/>
      <c r="AZ480"/>
      <c r="BA480"/>
      <c r="BL480"/>
      <c r="BM480"/>
      <c r="BN480"/>
      <c r="BO480"/>
      <c r="BP480"/>
      <c r="BQ480"/>
    </row>
    <row r="481" spans="4:69" x14ac:dyDescent="0.25">
      <c r="D481"/>
      <c r="E481"/>
      <c r="F481"/>
      <c r="G481"/>
      <c r="J481"/>
      <c r="K481"/>
      <c r="L481"/>
      <c r="M481"/>
      <c r="O481"/>
      <c r="P481"/>
      <c r="Q481"/>
      <c r="R481"/>
      <c r="S481"/>
      <c r="T481"/>
      <c r="U481"/>
      <c r="V481"/>
      <c r="Y481"/>
      <c r="Z481"/>
      <c r="AA481"/>
      <c r="AB481"/>
      <c r="AF481"/>
      <c r="AG481"/>
      <c r="AH481"/>
      <c r="AI481"/>
      <c r="AJ481"/>
      <c r="AK481"/>
      <c r="AN481"/>
      <c r="AO481"/>
      <c r="AP481"/>
      <c r="AQ481"/>
      <c r="AR481"/>
      <c r="AS481"/>
      <c r="AV481"/>
      <c r="AW481"/>
      <c r="AX481"/>
      <c r="AY481"/>
      <c r="AZ481"/>
      <c r="BA481"/>
      <c r="BL481"/>
      <c r="BM481"/>
      <c r="BN481"/>
      <c r="BO481"/>
      <c r="BP481"/>
      <c r="BQ481"/>
    </row>
    <row r="482" spans="4:69" x14ac:dyDescent="0.25">
      <c r="D482"/>
      <c r="E482"/>
      <c r="F482"/>
      <c r="G482"/>
      <c r="J482"/>
      <c r="K482"/>
      <c r="L482"/>
      <c r="M482"/>
      <c r="O482"/>
      <c r="P482"/>
      <c r="Q482"/>
      <c r="R482"/>
      <c r="S482"/>
      <c r="T482"/>
      <c r="U482"/>
      <c r="V482"/>
      <c r="Y482"/>
      <c r="Z482"/>
      <c r="AA482"/>
      <c r="AB482"/>
      <c r="AF482"/>
      <c r="AG482"/>
      <c r="AH482"/>
      <c r="AI482"/>
      <c r="AJ482"/>
      <c r="AK482"/>
      <c r="AN482"/>
      <c r="AO482"/>
      <c r="AP482"/>
      <c r="AQ482"/>
      <c r="AR482"/>
      <c r="AS482"/>
      <c r="AV482"/>
      <c r="AW482"/>
      <c r="AX482"/>
      <c r="AY482"/>
      <c r="AZ482"/>
      <c r="BA482"/>
      <c r="BL482"/>
      <c r="BM482"/>
      <c r="BN482"/>
      <c r="BO482"/>
      <c r="BP482"/>
      <c r="BQ482"/>
    </row>
    <row r="483" spans="4:69" x14ac:dyDescent="0.25">
      <c r="D483"/>
      <c r="E483"/>
      <c r="F483"/>
      <c r="G483"/>
      <c r="J483"/>
      <c r="K483"/>
      <c r="L483"/>
      <c r="M483"/>
      <c r="O483"/>
      <c r="P483"/>
      <c r="Q483"/>
      <c r="R483"/>
      <c r="S483"/>
      <c r="T483"/>
      <c r="U483"/>
      <c r="V483"/>
      <c r="Y483"/>
      <c r="Z483"/>
      <c r="AA483"/>
      <c r="AB483"/>
      <c r="AF483"/>
      <c r="AG483"/>
      <c r="AH483"/>
      <c r="AI483"/>
      <c r="AJ483"/>
      <c r="AK483"/>
      <c r="AN483"/>
      <c r="AO483"/>
      <c r="AP483"/>
      <c r="AQ483"/>
      <c r="AR483"/>
      <c r="AS483"/>
      <c r="AV483"/>
      <c r="AW483"/>
      <c r="AX483"/>
      <c r="AY483"/>
      <c r="AZ483"/>
      <c r="BA483"/>
      <c r="BL483"/>
      <c r="BM483"/>
      <c r="BN483"/>
      <c r="BO483"/>
      <c r="BP483"/>
      <c r="BQ483"/>
    </row>
    <row r="484" spans="4:69" x14ac:dyDescent="0.25">
      <c r="D484"/>
      <c r="E484"/>
      <c r="F484"/>
      <c r="G484"/>
      <c r="J484"/>
      <c r="K484"/>
      <c r="L484"/>
      <c r="M484"/>
      <c r="O484"/>
      <c r="P484"/>
      <c r="Q484"/>
      <c r="R484"/>
      <c r="S484"/>
      <c r="T484"/>
      <c r="U484"/>
      <c r="V484"/>
      <c r="Y484"/>
      <c r="Z484"/>
      <c r="AA484"/>
      <c r="AB484"/>
      <c r="AF484"/>
      <c r="AG484"/>
      <c r="AH484"/>
      <c r="AI484"/>
      <c r="AJ484"/>
      <c r="AK484"/>
      <c r="AN484"/>
      <c r="AO484"/>
      <c r="AP484"/>
      <c r="AQ484"/>
      <c r="AR484"/>
      <c r="AS484"/>
      <c r="AV484"/>
      <c r="AW484"/>
      <c r="AX484"/>
      <c r="AY484"/>
      <c r="AZ484"/>
      <c r="BA484"/>
      <c r="BL484"/>
      <c r="BM484"/>
      <c r="BN484"/>
      <c r="BO484"/>
      <c r="BP484"/>
      <c r="BQ484"/>
    </row>
    <row r="485" spans="4:69" x14ac:dyDescent="0.25">
      <c r="D485"/>
      <c r="E485"/>
      <c r="F485"/>
      <c r="G485"/>
      <c r="J485"/>
      <c r="K485"/>
      <c r="L485"/>
      <c r="M485"/>
      <c r="O485"/>
      <c r="P485"/>
      <c r="Q485"/>
      <c r="R485"/>
      <c r="S485"/>
      <c r="T485"/>
      <c r="U485"/>
      <c r="V485"/>
      <c r="Y485"/>
      <c r="Z485"/>
      <c r="AA485"/>
      <c r="AB485"/>
      <c r="AF485"/>
      <c r="AG485"/>
      <c r="AH485"/>
      <c r="AI485"/>
      <c r="AJ485"/>
      <c r="AK485"/>
      <c r="AN485"/>
      <c r="AO485"/>
      <c r="AP485"/>
      <c r="AQ485"/>
      <c r="AR485"/>
      <c r="AS485"/>
      <c r="AV485"/>
      <c r="AW485"/>
      <c r="AX485"/>
      <c r="AY485"/>
      <c r="AZ485"/>
      <c r="BA485"/>
      <c r="BL485"/>
      <c r="BM485"/>
      <c r="BN485"/>
      <c r="BO485"/>
      <c r="BP485"/>
      <c r="BQ485"/>
    </row>
    <row r="486" spans="4:69" x14ac:dyDescent="0.25">
      <c r="D486"/>
      <c r="E486"/>
      <c r="F486"/>
      <c r="G486"/>
      <c r="J486"/>
      <c r="K486"/>
      <c r="L486"/>
      <c r="M486"/>
      <c r="O486"/>
      <c r="P486"/>
      <c r="Q486"/>
      <c r="R486"/>
      <c r="S486"/>
      <c r="T486"/>
      <c r="U486"/>
      <c r="V486"/>
      <c r="Y486"/>
      <c r="Z486"/>
      <c r="AA486"/>
      <c r="AB486"/>
      <c r="AF486"/>
      <c r="AG486"/>
      <c r="AH486"/>
      <c r="AI486"/>
      <c r="AJ486"/>
      <c r="AK486"/>
      <c r="AN486"/>
      <c r="AO486"/>
      <c r="AP486"/>
      <c r="AQ486"/>
      <c r="AR486"/>
      <c r="AS486"/>
      <c r="AV486"/>
      <c r="AW486"/>
      <c r="AX486"/>
      <c r="AY486"/>
      <c r="AZ486"/>
      <c r="BA486"/>
      <c r="BL486"/>
      <c r="BM486"/>
      <c r="BN486"/>
      <c r="BO486"/>
      <c r="BP486"/>
      <c r="BQ486"/>
    </row>
    <row r="487" spans="4:69" x14ac:dyDescent="0.25">
      <c r="D487"/>
      <c r="E487"/>
      <c r="F487"/>
      <c r="G487"/>
      <c r="J487"/>
      <c r="K487"/>
      <c r="L487"/>
      <c r="M487"/>
      <c r="O487"/>
      <c r="P487"/>
      <c r="Q487"/>
      <c r="R487"/>
      <c r="S487"/>
      <c r="T487"/>
      <c r="U487"/>
      <c r="V487"/>
      <c r="Y487"/>
      <c r="Z487"/>
      <c r="AA487"/>
      <c r="AB487"/>
      <c r="AF487"/>
      <c r="AG487"/>
      <c r="AH487"/>
      <c r="AI487"/>
      <c r="AJ487"/>
      <c r="AK487"/>
      <c r="AN487"/>
      <c r="AO487"/>
      <c r="AP487"/>
      <c r="AQ487"/>
      <c r="AR487"/>
      <c r="AS487"/>
      <c r="AV487"/>
      <c r="AW487"/>
      <c r="AX487"/>
      <c r="AY487"/>
      <c r="AZ487"/>
      <c r="BA487"/>
      <c r="BL487"/>
      <c r="BM487"/>
      <c r="BN487"/>
      <c r="BO487"/>
      <c r="BP487"/>
      <c r="BQ487"/>
    </row>
    <row r="488" spans="4:69" x14ac:dyDescent="0.25">
      <c r="D488"/>
      <c r="E488"/>
      <c r="F488"/>
      <c r="G488"/>
      <c r="J488"/>
      <c r="K488"/>
      <c r="L488"/>
      <c r="M488"/>
      <c r="O488"/>
      <c r="P488"/>
      <c r="Q488"/>
      <c r="R488"/>
      <c r="S488"/>
      <c r="T488"/>
      <c r="U488"/>
      <c r="V488"/>
      <c r="Y488"/>
      <c r="Z488"/>
      <c r="AA488"/>
      <c r="AB488"/>
      <c r="AF488"/>
      <c r="AG488"/>
      <c r="AH488"/>
      <c r="AI488"/>
      <c r="AJ488"/>
      <c r="AK488"/>
      <c r="AN488"/>
      <c r="AO488"/>
      <c r="AP488"/>
      <c r="AQ488"/>
      <c r="AR488"/>
      <c r="AS488"/>
      <c r="AV488"/>
      <c r="AW488"/>
      <c r="AX488"/>
      <c r="AY488"/>
      <c r="AZ488"/>
      <c r="BA488"/>
      <c r="BL488"/>
      <c r="BM488"/>
      <c r="BN488"/>
      <c r="BO488"/>
      <c r="BP488"/>
      <c r="BQ488"/>
    </row>
    <row r="489" spans="4:69" x14ac:dyDescent="0.25">
      <c r="D489"/>
      <c r="E489"/>
      <c r="F489"/>
      <c r="G489"/>
      <c r="J489"/>
      <c r="K489"/>
      <c r="L489"/>
      <c r="M489"/>
      <c r="O489"/>
      <c r="P489"/>
      <c r="Q489"/>
      <c r="R489"/>
      <c r="S489"/>
      <c r="T489"/>
      <c r="U489"/>
      <c r="V489"/>
      <c r="Y489"/>
      <c r="Z489"/>
      <c r="AA489"/>
      <c r="AB489"/>
      <c r="AF489"/>
      <c r="AG489"/>
      <c r="AH489"/>
      <c r="AI489"/>
      <c r="AJ489"/>
      <c r="AK489"/>
      <c r="AN489"/>
      <c r="AO489"/>
      <c r="AP489"/>
      <c r="AQ489"/>
      <c r="AR489"/>
      <c r="AS489"/>
      <c r="AV489"/>
      <c r="AW489"/>
      <c r="AX489"/>
      <c r="AY489"/>
      <c r="AZ489"/>
      <c r="BA489"/>
      <c r="BL489"/>
      <c r="BM489"/>
      <c r="BN489"/>
      <c r="BO489"/>
      <c r="BP489"/>
      <c r="BQ489"/>
    </row>
    <row r="490" spans="4:69" x14ac:dyDescent="0.25">
      <c r="D490"/>
      <c r="E490"/>
      <c r="F490"/>
      <c r="G490"/>
      <c r="J490"/>
      <c r="K490"/>
      <c r="L490"/>
      <c r="M490"/>
      <c r="O490"/>
      <c r="P490"/>
      <c r="Q490"/>
      <c r="R490"/>
      <c r="S490"/>
      <c r="T490"/>
      <c r="U490"/>
      <c r="V490"/>
      <c r="Y490"/>
      <c r="Z490"/>
      <c r="AA490"/>
      <c r="AB490"/>
      <c r="AF490"/>
      <c r="AG490"/>
      <c r="AH490"/>
      <c r="AI490"/>
      <c r="AJ490"/>
      <c r="AK490"/>
      <c r="AN490"/>
      <c r="AO490"/>
      <c r="AP490"/>
      <c r="AQ490"/>
      <c r="AR490"/>
      <c r="AS490"/>
      <c r="AV490"/>
      <c r="AW490"/>
      <c r="AX490"/>
      <c r="AY490"/>
      <c r="AZ490"/>
      <c r="BA490"/>
      <c r="BL490"/>
      <c r="BM490"/>
      <c r="BN490"/>
      <c r="BO490"/>
      <c r="BP490"/>
      <c r="BQ490"/>
    </row>
    <row r="491" spans="4:69" x14ac:dyDescent="0.25">
      <c r="D491"/>
      <c r="E491"/>
      <c r="F491"/>
      <c r="G491"/>
      <c r="J491"/>
      <c r="K491"/>
      <c r="L491"/>
      <c r="M491"/>
      <c r="O491"/>
      <c r="P491"/>
      <c r="Q491"/>
      <c r="R491"/>
      <c r="S491"/>
      <c r="T491"/>
      <c r="U491"/>
      <c r="V491"/>
      <c r="Y491"/>
      <c r="Z491"/>
      <c r="AA491"/>
      <c r="AB491"/>
      <c r="AF491"/>
      <c r="AG491"/>
      <c r="AH491"/>
      <c r="AI491"/>
      <c r="AJ491"/>
      <c r="AK491"/>
      <c r="AN491"/>
      <c r="AO491"/>
      <c r="AP491"/>
      <c r="AQ491"/>
      <c r="AR491"/>
      <c r="AS491"/>
      <c r="AV491"/>
      <c r="AW491"/>
      <c r="AX491"/>
      <c r="AY491"/>
      <c r="AZ491"/>
      <c r="BA491"/>
      <c r="BL491"/>
      <c r="BM491"/>
      <c r="BN491"/>
      <c r="BO491"/>
      <c r="BP491"/>
      <c r="BQ491"/>
    </row>
    <row r="492" spans="4:69" x14ac:dyDescent="0.25">
      <c r="D492"/>
      <c r="E492"/>
      <c r="F492"/>
      <c r="G492"/>
      <c r="J492"/>
      <c r="K492"/>
      <c r="L492"/>
      <c r="M492"/>
      <c r="O492"/>
      <c r="P492"/>
      <c r="Q492"/>
      <c r="R492"/>
      <c r="S492"/>
      <c r="T492"/>
      <c r="U492"/>
      <c r="V492"/>
      <c r="Y492"/>
      <c r="Z492"/>
      <c r="AA492"/>
      <c r="AB492"/>
      <c r="AF492"/>
      <c r="AG492"/>
      <c r="AH492"/>
      <c r="AI492"/>
      <c r="AJ492"/>
      <c r="AK492"/>
      <c r="AN492"/>
      <c r="AO492"/>
      <c r="AP492"/>
      <c r="AQ492"/>
      <c r="AR492"/>
      <c r="AS492"/>
      <c r="AV492"/>
      <c r="AW492"/>
      <c r="AX492"/>
      <c r="AY492"/>
      <c r="AZ492"/>
      <c r="BA492"/>
      <c r="BL492"/>
      <c r="BM492"/>
      <c r="BN492"/>
      <c r="BO492"/>
      <c r="BP492"/>
      <c r="BQ492"/>
    </row>
    <row r="493" spans="4:69" x14ac:dyDescent="0.25">
      <c r="D493"/>
      <c r="E493"/>
      <c r="F493"/>
      <c r="G493"/>
      <c r="J493"/>
      <c r="K493"/>
      <c r="L493"/>
      <c r="M493"/>
      <c r="O493"/>
      <c r="P493"/>
      <c r="Q493"/>
      <c r="R493"/>
      <c r="S493"/>
      <c r="T493"/>
      <c r="U493"/>
      <c r="V493"/>
      <c r="Y493"/>
      <c r="Z493"/>
      <c r="AA493"/>
      <c r="AB493"/>
      <c r="AF493"/>
      <c r="AG493"/>
      <c r="AH493"/>
      <c r="AI493"/>
      <c r="AJ493"/>
      <c r="AK493"/>
      <c r="AN493"/>
      <c r="AO493"/>
      <c r="AP493"/>
      <c r="AQ493"/>
      <c r="AR493"/>
      <c r="AS493"/>
      <c r="AV493"/>
      <c r="AW493"/>
      <c r="AX493"/>
      <c r="AY493"/>
      <c r="AZ493"/>
      <c r="BA493"/>
      <c r="BL493"/>
      <c r="BM493"/>
      <c r="BN493"/>
      <c r="BO493"/>
      <c r="BP493"/>
      <c r="BQ493"/>
    </row>
    <row r="494" spans="4:69" x14ac:dyDescent="0.25">
      <c r="D494"/>
      <c r="E494"/>
      <c r="F494"/>
      <c r="G494"/>
      <c r="J494"/>
      <c r="K494"/>
      <c r="L494"/>
      <c r="M494"/>
      <c r="O494"/>
      <c r="P494"/>
      <c r="Q494"/>
      <c r="R494"/>
      <c r="S494"/>
      <c r="T494"/>
      <c r="U494"/>
      <c r="V494"/>
      <c r="Y494"/>
      <c r="Z494"/>
      <c r="AA494"/>
      <c r="AB494"/>
      <c r="AF494"/>
      <c r="AG494"/>
      <c r="AH494"/>
      <c r="AI494"/>
      <c r="AJ494"/>
      <c r="AK494"/>
      <c r="AN494"/>
      <c r="AO494"/>
      <c r="AP494"/>
      <c r="AQ494"/>
      <c r="AR494"/>
      <c r="AS494"/>
      <c r="AV494"/>
      <c r="AW494"/>
      <c r="AX494"/>
      <c r="AY494"/>
      <c r="AZ494"/>
      <c r="BA494"/>
      <c r="BL494"/>
      <c r="BM494"/>
      <c r="BN494"/>
      <c r="BO494"/>
      <c r="BP494"/>
      <c r="BQ494"/>
    </row>
    <row r="495" spans="4:69" x14ac:dyDescent="0.25">
      <c r="D495"/>
      <c r="E495"/>
      <c r="F495"/>
      <c r="G495"/>
      <c r="J495"/>
      <c r="K495"/>
      <c r="L495"/>
      <c r="M495"/>
      <c r="O495"/>
      <c r="P495"/>
      <c r="Q495"/>
      <c r="R495"/>
      <c r="S495"/>
      <c r="T495"/>
      <c r="U495"/>
      <c r="V495"/>
      <c r="Y495"/>
      <c r="Z495"/>
      <c r="AA495"/>
      <c r="AB495"/>
      <c r="AF495"/>
      <c r="AG495"/>
      <c r="AH495"/>
      <c r="AI495"/>
      <c r="AJ495"/>
      <c r="AK495"/>
      <c r="AN495"/>
      <c r="AO495"/>
      <c r="AP495"/>
      <c r="AQ495"/>
      <c r="AR495"/>
      <c r="AS495"/>
      <c r="AV495"/>
      <c r="AW495"/>
      <c r="AX495"/>
      <c r="AY495"/>
      <c r="AZ495"/>
      <c r="BA495"/>
      <c r="BL495"/>
      <c r="BM495"/>
      <c r="BN495"/>
      <c r="BO495"/>
      <c r="BP495"/>
      <c r="BQ495"/>
    </row>
    <row r="496" spans="4:69" x14ac:dyDescent="0.25">
      <c r="D496"/>
      <c r="E496"/>
      <c r="F496"/>
      <c r="G496"/>
      <c r="J496"/>
      <c r="K496"/>
      <c r="L496"/>
      <c r="M496"/>
      <c r="O496"/>
      <c r="P496"/>
      <c r="Q496"/>
      <c r="R496"/>
      <c r="S496"/>
      <c r="T496"/>
      <c r="U496"/>
      <c r="V496"/>
      <c r="Y496"/>
      <c r="Z496"/>
      <c r="AA496"/>
      <c r="AB496"/>
      <c r="AF496"/>
      <c r="AG496"/>
      <c r="AH496"/>
      <c r="AI496"/>
      <c r="AJ496"/>
      <c r="AK496"/>
      <c r="AN496"/>
      <c r="AO496"/>
      <c r="AP496"/>
      <c r="AQ496"/>
      <c r="AR496"/>
      <c r="AS496"/>
      <c r="AV496"/>
      <c r="AW496"/>
      <c r="AX496"/>
      <c r="AY496"/>
      <c r="AZ496"/>
      <c r="BA496"/>
      <c r="BL496"/>
      <c r="BM496"/>
      <c r="BN496"/>
      <c r="BO496"/>
      <c r="BP496"/>
      <c r="BQ496"/>
    </row>
    <row r="497" spans="4:69" x14ac:dyDescent="0.25">
      <c r="D497"/>
      <c r="E497"/>
      <c r="F497"/>
      <c r="G497"/>
      <c r="J497"/>
      <c r="K497"/>
      <c r="L497"/>
      <c r="M497"/>
      <c r="O497"/>
      <c r="P497"/>
      <c r="Q497"/>
      <c r="R497"/>
      <c r="S497"/>
      <c r="T497"/>
      <c r="U497"/>
      <c r="V497"/>
      <c r="Y497"/>
      <c r="Z497"/>
      <c r="AA497"/>
      <c r="AB497"/>
      <c r="AF497"/>
      <c r="AG497"/>
      <c r="AH497"/>
      <c r="AI497"/>
      <c r="AJ497"/>
      <c r="AK497"/>
      <c r="AN497"/>
      <c r="AO497"/>
      <c r="AP497"/>
      <c r="AQ497"/>
      <c r="AR497"/>
      <c r="AS497"/>
      <c r="AV497"/>
      <c r="AW497"/>
      <c r="AX497"/>
      <c r="AY497"/>
      <c r="AZ497"/>
      <c r="BA497"/>
      <c r="BL497"/>
      <c r="BM497"/>
      <c r="BN497"/>
      <c r="BO497"/>
      <c r="BP497"/>
      <c r="BQ497"/>
    </row>
    <row r="498" spans="4:69" x14ac:dyDescent="0.25">
      <c r="D498"/>
      <c r="E498"/>
      <c r="F498"/>
      <c r="G498"/>
      <c r="J498"/>
      <c r="K498"/>
      <c r="L498"/>
      <c r="M498"/>
      <c r="O498"/>
      <c r="P498"/>
      <c r="Q498"/>
      <c r="R498"/>
      <c r="S498"/>
      <c r="T498"/>
      <c r="U498"/>
      <c r="V498"/>
      <c r="Y498"/>
      <c r="Z498"/>
      <c r="AA498"/>
      <c r="AB498"/>
      <c r="AF498"/>
      <c r="AG498"/>
      <c r="AH498"/>
      <c r="AI498"/>
      <c r="AJ498"/>
      <c r="AK498"/>
      <c r="AN498"/>
      <c r="AO498"/>
      <c r="AP498"/>
      <c r="AQ498"/>
      <c r="AR498"/>
      <c r="AS498"/>
      <c r="AV498"/>
      <c r="AW498"/>
      <c r="AX498"/>
      <c r="AY498"/>
      <c r="AZ498"/>
      <c r="BA498"/>
      <c r="BL498"/>
      <c r="BM498"/>
      <c r="BN498"/>
      <c r="BO498"/>
      <c r="BP498"/>
      <c r="BQ498"/>
    </row>
    <row r="499" spans="4:69" x14ac:dyDescent="0.25">
      <c r="D499"/>
      <c r="E499"/>
      <c r="F499"/>
      <c r="G499"/>
      <c r="J499"/>
      <c r="K499"/>
      <c r="L499"/>
      <c r="M499"/>
      <c r="O499"/>
      <c r="P499"/>
      <c r="Q499"/>
      <c r="R499"/>
      <c r="S499"/>
      <c r="T499"/>
      <c r="U499"/>
      <c r="V499"/>
      <c r="Y499"/>
      <c r="Z499"/>
      <c r="AA499"/>
      <c r="AB499"/>
      <c r="AF499"/>
      <c r="AG499"/>
      <c r="AH499"/>
      <c r="AI499"/>
      <c r="AJ499"/>
      <c r="AK499"/>
      <c r="AN499"/>
      <c r="AO499"/>
      <c r="AP499"/>
      <c r="AQ499"/>
      <c r="AR499"/>
      <c r="AS499"/>
      <c r="AV499"/>
      <c r="AW499"/>
      <c r="AX499"/>
      <c r="AY499"/>
      <c r="AZ499"/>
      <c r="BA499"/>
      <c r="BL499"/>
      <c r="BM499"/>
      <c r="BN499"/>
      <c r="BO499"/>
      <c r="BP499"/>
      <c r="BQ499"/>
    </row>
    <row r="500" spans="4:69" x14ac:dyDescent="0.25">
      <c r="D500"/>
      <c r="E500"/>
      <c r="F500"/>
      <c r="G500"/>
      <c r="J500"/>
      <c r="K500"/>
      <c r="L500"/>
      <c r="M500"/>
      <c r="O500"/>
      <c r="P500"/>
      <c r="Q500"/>
      <c r="R500"/>
      <c r="S500"/>
      <c r="T500"/>
      <c r="U500"/>
      <c r="V500"/>
      <c r="Y500"/>
      <c r="Z500"/>
      <c r="AA500"/>
      <c r="AB500"/>
      <c r="AF500"/>
      <c r="AG500"/>
      <c r="AH500"/>
      <c r="AI500"/>
      <c r="AJ500"/>
      <c r="AK500"/>
      <c r="AN500"/>
      <c r="AO500"/>
      <c r="AP500"/>
      <c r="AQ500"/>
      <c r="AR500"/>
      <c r="AS500"/>
      <c r="AV500"/>
      <c r="AW500"/>
      <c r="AX500"/>
      <c r="AY500"/>
      <c r="AZ500"/>
      <c r="BA500"/>
      <c r="BL500"/>
      <c r="BM500"/>
      <c r="BN500"/>
      <c r="BO500"/>
      <c r="BP500"/>
      <c r="BQ500"/>
    </row>
    <row r="501" spans="4:69" x14ac:dyDescent="0.25">
      <c r="D501"/>
      <c r="E501"/>
      <c r="F501"/>
      <c r="G501"/>
      <c r="J501"/>
      <c r="K501"/>
      <c r="L501"/>
      <c r="M501"/>
      <c r="O501"/>
      <c r="P501"/>
      <c r="Q501"/>
      <c r="R501"/>
      <c r="S501"/>
      <c r="T501"/>
      <c r="U501"/>
      <c r="V501"/>
      <c r="Y501"/>
      <c r="Z501"/>
      <c r="AA501"/>
      <c r="AB501"/>
      <c r="AF501"/>
      <c r="AG501"/>
      <c r="AH501"/>
      <c r="AI501"/>
      <c r="AJ501"/>
      <c r="AK501"/>
      <c r="AN501"/>
      <c r="AO501"/>
      <c r="AP501"/>
      <c r="AQ501"/>
      <c r="AR501"/>
      <c r="AS501"/>
      <c r="AV501"/>
      <c r="AW501"/>
      <c r="AX501"/>
      <c r="AY501"/>
      <c r="AZ501"/>
      <c r="BA501"/>
      <c r="BL501"/>
      <c r="BM501"/>
      <c r="BN501"/>
      <c r="BO501"/>
      <c r="BP501"/>
      <c r="BQ501"/>
    </row>
    <row r="502" spans="4:69" x14ac:dyDescent="0.25">
      <c r="D502"/>
      <c r="E502"/>
      <c r="F502"/>
      <c r="G502"/>
      <c r="J502"/>
      <c r="K502"/>
      <c r="L502"/>
      <c r="M502"/>
      <c r="O502"/>
      <c r="P502"/>
      <c r="Q502"/>
      <c r="R502"/>
      <c r="S502"/>
      <c r="T502"/>
      <c r="U502"/>
      <c r="V502"/>
      <c r="Y502"/>
      <c r="Z502"/>
      <c r="AA502"/>
      <c r="AB502"/>
      <c r="AF502"/>
      <c r="AG502"/>
      <c r="AH502"/>
      <c r="AI502"/>
      <c r="AJ502"/>
      <c r="AK502"/>
      <c r="AN502"/>
      <c r="AO502"/>
      <c r="AP502"/>
      <c r="AQ502"/>
      <c r="AR502"/>
      <c r="AS502"/>
      <c r="AV502"/>
      <c r="AW502"/>
      <c r="AX502"/>
      <c r="AY502"/>
      <c r="AZ502"/>
      <c r="BA502"/>
      <c r="BL502"/>
      <c r="BM502"/>
      <c r="BN502"/>
      <c r="BO502"/>
      <c r="BP502"/>
      <c r="BQ502"/>
    </row>
    <row r="503" spans="4:69" x14ac:dyDescent="0.25">
      <c r="D503"/>
      <c r="E503"/>
      <c r="F503"/>
      <c r="G503"/>
      <c r="J503"/>
      <c r="K503"/>
      <c r="L503"/>
      <c r="M503"/>
      <c r="O503"/>
      <c r="P503"/>
      <c r="Q503"/>
      <c r="R503"/>
      <c r="S503"/>
      <c r="T503"/>
      <c r="U503"/>
      <c r="V503"/>
      <c r="Y503"/>
      <c r="Z503"/>
      <c r="AA503"/>
      <c r="AB503"/>
      <c r="AF503"/>
      <c r="AG503"/>
      <c r="AH503"/>
      <c r="AI503"/>
      <c r="AJ503"/>
      <c r="AK503"/>
      <c r="AN503"/>
      <c r="AO503"/>
      <c r="AP503"/>
      <c r="AQ503"/>
      <c r="AR503"/>
      <c r="AS503"/>
      <c r="AV503"/>
      <c r="AW503"/>
      <c r="AX503"/>
      <c r="AY503"/>
      <c r="AZ503"/>
      <c r="BA503"/>
      <c r="BL503"/>
      <c r="BM503"/>
      <c r="BN503"/>
      <c r="BO503"/>
      <c r="BP503"/>
      <c r="BQ503"/>
    </row>
    <row r="504" spans="4:69" x14ac:dyDescent="0.25">
      <c r="D504"/>
      <c r="E504"/>
      <c r="F504"/>
      <c r="G504"/>
      <c r="J504"/>
      <c r="K504"/>
      <c r="L504"/>
      <c r="M504"/>
      <c r="O504"/>
      <c r="P504"/>
      <c r="Q504"/>
      <c r="R504"/>
      <c r="S504"/>
      <c r="T504"/>
      <c r="U504"/>
      <c r="V504"/>
      <c r="Y504"/>
      <c r="Z504"/>
      <c r="AA504"/>
      <c r="AB504"/>
      <c r="AF504"/>
      <c r="AG504"/>
      <c r="AH504"/>
      <c r="AI504"/>
      <c r="AJ504"/>
      <c r="AK504"/>
      <c r="AN504"/>
      <c r="AO504"/>
      <c r="AP504"/>
      <c r="AQ504"/>
      <c r="AR504"/>
      <c r="AS504"/>
      <c r="AV504"/>
      <c r="AW504"/>
      <c r="AX504"/>
      <c r="AY504"/>
      <c r="AZ504"/>
      <c r="BA504"/>
      <c r="BL504"/>
      <c r="BM504"/>
      <c r="BN504"/>
      <c r="BO504"/>
      <c r="BP504"/>
      <c r="BQ504"/>
    </row>
    <row r="505" spans="4:69" x14ac:dyDescent="0.25">
      <c r="D505"/>
      <c r="E505"/>
      <c r="F505"/>
      <c r="G505"/>
      <c r="J505"/>
      <c r="K505"/>
      <c r="L505"/>
      <c r="M505"/>
      <c r="O505"/>
      <c r="P505"/>
      <c r="Q505"/>
      <c r="R505"/>
      <c r="S505"/>
      <c r="T505"/>
      <c r="U505"/>
      <c r="V505"/>
      <c r="Y505"/>
      <c r="Z505"/>
      <c r="AA505"/>
      <c r="AB505"/>
      <c r="AF505"/>
      <c r="AG505"/>
      <c r="AH505"/>
      <c r="AI505"/>
      <c r="AJ505"/>
      <c r="AK505"/>
      <c r="AN505"/>
      <c r="AO505"/>
      <c r="AP505"/>
      <c r="AQ505"/>
      <c r="AR505"/>
      <c r="AS505"/>
      <c r="AV505"/>
      <c r="AW505"/>
      <c r="AX505"/>
      <c r="AY505"/>
      <c r="AZ505"/>
      <c r="BA505"/>
      <c r="BL505"/>
      <c r="BM505"/>
      <c r="BN505"/>
      <c r="BO505"/>
      <c r="BP505"/>
      <c r="BQ505"/>
    </row>
    <row r="506" spans="4:69" x14ac:dyDescent="0.25">
      <c r="D506"/>
      <c r="E506"/>
      <c r="F506"/>
      <c r="G506"/>
      <c r="J506"/>
      <c r="K506"/>
      <c r="L506"/>
      <c r="M506"/>
      <c r="O506"/>
      <c r="P506"/>
      <c r="Q506"/>
      <c r="R506"/>
      <c r="S506"/>
      <c r="T506"/>
      <c r="U506"/>
      <c r="V506"/>
      <c r="Y506"/>
      <c r="Z506"/>
      <c r="AA506"/>
      <c r="AB506"/>
      <c r="AF506"/>
      <c r="AG506"/>
      <c r="AH506"/>
      <c r="AI506"/>
      <c r="AJ506"/>
      <c r="AK506"/>
      <c r="AN506"/>
      <c r="AO506"/>
      <c r="AP506"/>
      <c r="AQ506"/>
      <c r="AR506"/>
      <c r="AS506"/>
      <c r="AV506"/>
      <c r="AW506"/>
      <c r="AX506"/>
      <c r="AY506"/>
      <c r="AZ506"/>
      <c r="BA506"/>
      <c r="BL506"/>
      <c r="BM506"/>
      <c r="BN506"/>
      <c r="BO506"/>
      <c r="BP506"/>
      <c r="BQ506"/>
    </row>
    <row r="507" spans="4:69" x14ac:dyDescent="0.25">
      <c r="D507"/>
      <c r="E507"/>
      <c r="F507"/>
      <c r="G507"/>
      <c r="J507"/>
      <c r="K507"/>
      <c r="L507"/>
      <c r="M507"/>
      <c r="O507"/>
      <c r="P507"/>
      <c r="Q507"/>
      <c r="R507"/>
      <c r="S507"/>
      <c r="T507"/>
      <c r="U507"/>
      <c r="V507"/>
      <c r="Y507"/>
      <c r="Z507"/>
      <c r="AA507"/>
      <c r="AB507"/>
      <c r="AF507"/>
      <c r="AG507"/>
      <c r="AH507"/>
      <c r="AI507"/>
      <c r="AJ507"/>
      <c r="AK507"/>
      <c r="AN507"/>
      <c r="AO507"/>
      <c r="AP507"/>
      <c r="AQ507"/>
      <c r="AR507"/>
      <c r="AS507"/>
      <c r="AV507"/>
      <c r="AW507"/>
      <c r="AX507"/>
      <c r="AY507"/>
      <c r="AZ507"/>
      <c r="BA507"/>
      <c r="BL507"/>
      <c r="BM507"/>
      <c r="BN507"/>
      <c r="BO507"/>
      <c r="BP507"/>
      <c r="BQ507"/>
    </row>
    <row r="508" spans="4:69" x14ac:dyDescent="0.25">
      <c r="D508"/>
      <c r="E508"/>
      <c r="F508"/>
      <c r="G508"/>
      <c r="J508"/>
      <c r="K508"/>
      <c r="L508"/>
      <c r="M508"/>
      <c r="O508"/>
      <c r="P508"/>
      <c r="Q508"/>
      <c r="R508"/>
      <c r="S508"/>
      <c r="T508"/>
      <c r="U508"/>
      <c r="V508"/>
      <c r="Y508"/>
      <c r="Z508"/>
      <c r="AA508"/>
      <c r="AB508"/>
      <c r="AF508"/>
      <c r="AG508"/>
      <c r="AH508"/>
      <c r="AI508"/>
      <c r="AJ508"/>
      <c r="AK508"/>
      <c r="AN508"/>
      <c r="AO508"/>
      <c r="AP508"/>
      <c r="AQ508"/>
      <c r="AR508"/>
      <c r="AS508"/>
      <c r="AV508"/>
      <c r="AW508"/>
      <c r="AX508"/>
      <c r="AY508"/>
      <c r="AZ508"/>
      <c r="BA508"/>
      <c r="BL508"/>
      <c r="BM508"/>
      <c r="BN508"/>
      <c r="BO508"/>
      <c r="BP508"/>
      <c r="BQ508"/>
    </row>
    <row r="509" spans="4:69" x14ac:dyDescent="0.25">
      <c r="D509"/>
      <c r="E509"/>
      <c r="F509"/>
      <c r="G509"/>
      <c r="J509"/>
      <c r="K509"/>
      <c r="L509"/>
      <c r="M509"/>
      <c r="O509"/>
      <c r="P509"/>
      <c r="Q509"/>
      <c r="R509"/>
      <c r="S509"/>
      <c r="T509"/>
      <c r="U509"/>
      <c r="V509"/>
      <c r="Y509"/>
      <c r="Z509"/>
      <c r="AA509"/>
      <c r="AB509"/>
      <c r="AF509"/>
      <c r="AG509"/>
      <c r="AH509"/>
      <c r="AI509"/>
      <c r="AJ509"/>
      <c r="AK509"/>
      <c r="AN509"/>
      <c r="AO509"/>
      <c r="AP509"/>
      <c r="AQ509"/>
      <c r="AR509"/>
      <c r="AS509"/>
      <c r="AV509"/>
      <c r="AW509"/>
      <c r="AX509"/>
      <c r="AY509"/>
      <c r="AZ509"/>
      <c r="BA509"/>
      <c r="BL509"/>
      <c r="BM509"/>
      <c r="BN509"/>
      <c r="BO509"/>
      <c r="BP509"/>
      <c r="BQ509"/>
    </row>
    <row r="510" spans="4:69" x14ac:dyDescent="0.25">
      <c r="D510"/>
      <c r="E510"/>
      <c r="F510"/>
      <c r="G510"/>
      <c r="J510"/>
      <c r="K510"/>
      <c r="L510"/>
      <c r="M510"/>
      <c r="O510"/>
      <c r="P510"/>
      <c r="Q510"/>
      <c r="R510"/>
      <c r="S510"/>
      <c r="T510"/>
      <c r="U510"/>
      <c r="V510"/>
      <c r="Y510"/>
      <c r="Z510"/>
      <c r="AA510"/>
      <c r="AB510"/>
      <c r="AF510"/>
      <c r="AG510"/>
      <c r="AH510"/>
      <c r="AI510"/>
      <c r="AJ510"/>
      <c r="AK510"/>
      <c r="AN510"/>
      <c r="AO510"/>
      <c r="AP510"/>
      <c r="AQ510"/>
      <c r="AR510"/>
      <c r="AS510"/>
      <c r="AV510"/>
      <c r="AW510"/>
      <c r="AX510"/>
      <c r="AY510"/>
      <c r="AZ510"/>
      <c r="BA510"/>
      <c r="BL510"/>
      <c r="BM510"/>
      <c r="BN510"/>
      <c r="BO510"/>
      <c r="BP510"/>
      <c r="BQ510"/>
    </row>
    <row r="511" spans="4:69" x14ac:dyDescent="0.25">
      <c r="D511"/>
      <c r="E511"/>
      <c r="F511"/>
      <c r="G511"/>
      <c r="J511"/>
      <c r="K511"/>
      <c r="L511"/>
      <c r="M511"/>
      <c r="O511"/>
      <c r="P511"/>
      <c r="Q511"/>
      <c r="R511"/>
      <c r="S511"/>
      <c r="T511"/>
      <c r="U511"/>
      <c r="V511"/>
      <c r="Y511"/>
      <c r="Z511"/>
      <c r="AA511"/>
      <c r="AB511"/>
      <c r="AF511"/>
      <c r="AG511"/>
      <c r="AH511"/>
      <c r="AI511"/>
      <c r="AJ511"/>
      <c r="AK511"/>
      <c r="AN511"/>
      <c r="AO511"/>
      <c r="AP511"/>
      <c r="AQ511"/>
      <c r="AR511"/>
      <c r="AS511"/>
      <c r="AV511"/>
      <c r="AW511"/>
      <c r="AX511"/>
      <c r="AY511"/>
      <c r="AZ511"/>
      <c r="BA511"/>
      <c r="BL511"/>
      <c r="BM511"/>
      <c r="BN511"/>
      <c r="BO511"/>
      <c r="BP511"/>
      <c r="BQ511"/>
    </row>
    <row r="512" spans="4:69" x14ac:dyDescent="0.25">
      <c r="D512"/>
      <c r="E512"/>
      <c r="F512"/>
      <c r="G512"/>
      <c r="J512"/>
      <c r="K512"/>
      <c r="L512"/>
      <c r="M512"/>
      <c r="O512"/>
      <c r="P512"/>
      <c r="Q512"/>
      <c r="R512"/>
      <c r="S512"/>
      <c r="T512"/>
      <c r="U512"/>
      <c r="V512"/>
      <c r="Y512"/>
      <c r="Z512"/>
      <c r="AA512"/>
      <c r="AB512"/>
      <c r="AF512"/>
      <c r="AG512"/>
      <c r="AH512"/>
      <c r="AI512"/>
      <c r="AJ512"/>
      <c r="AK512"/>
      <c r="AN512"/>
      <c r="AO512"/>
      <c r="AP512"/>
      <c r="AQ512"/>
      <c r="AR512"/>
      <c r="AS512"/>
      <c r="AV512"/>
      <c r="AW512"/>
      <c r="AX512"/>
      <c r="AY512"/>
      <c r="AZ512"/>
      <c r="BA512"/>
      <c r="BL512"/>
      <c r="BM512"/>
      <c r="BN512"/>
      <c r="BO512"/>
      <c r="BP512"/>
      <c r="BQ512"/>
    </row>
    <row r="513" spans="4:69" x14ac:dyDescent="0.25">
      <c r="D513"/>
      <c r="E513"/>
      <c r="F513"/>
      <c r="G513"/>
      <c r="J513"/>
      <c r="K513"/>
      <c r="L513"/>
      <c r="M513"/>
      <c r="O513"/>
      <c r="P513"/>
      <c r="Q513"/>
      <c r="R513"/>
      <c r="S513"/>
      <c r="T513"/>
      <c r="U513"/>
      <c r="V513"/>
      <c r="Y513"/>
      <c r="Z513"/>
      <c r="AA513"/>
      <c r="AB513"/>
      <c r="AF513"/>
      <c r="AG513"/>
      <c r="AH513"/>
      <c r="AI513"/>
      <c r="AJ513"/>
      <c r="AK513"/>
      <c r="AN513"/>
      <c r="AO513"/>
      <c r="AP513"/>
      <c r="AQ513"/>
      <c r="AR513"/>
      <c r="AS513"/>
      <c r="AV513"/>
      <c r="AW513"/>
      <c r="AX513"/>
      <c r="AY513"/>
      <c r="AZ513"/>
      <c r="BA513"/>
      <c r="BL513"/>
      <c r="BM513"/>
      <c r="BN513"/>
      <c r="BO513"/>
      <c r="BP513"/>
      <c r="BQ513"/>
    </row>
    <row r="514" spans="4:69" x14ac:dyDescent="0.25">
      <c r="D514"/>
      <c r="E514"/>
      <c r="F514"/>
      <c r="G514"/>
      <c r="J514"/>
      <c r="K514"/>
      <c r="L514"/>
      <c r="M514"/>
      <c r="O514"/>
      <c r="P514"/>
      <c r="Q514"/>
      <c r="R514"/>
      <c r="S514"/>
      <c r="T514"/>
      <c r="U514"/>
      <c r="V514"/>
      <c r="Y514"/>
      <c r="Z514"/>
      <c r="AA514"/>
      <c r="AB514"/>
      <c r="AF514"/>
      <c r="AG514"/>
      <c r="AH514"/>
      <c r="AI514"/>
      <c r="AJ514"/>
      <c r="AK514"/>
      <c r="AN514"/>
      <c r="AO514"/>
      <c r="AP514"/>
      <c r="AQ514"/>
      <c r="AR514"/>
      <c r="AS514"/>
      <c r="AV514"/>
      <c r="AW514"/>
      <c r="AX514"/>
      <c r="AY514"/>
      <c r="AZ514"/>
      <c r="BA514"/>
      <c r="BL514"/>
      <c r="BM514"/>
      <c r="BN514"/>
      <c r="BO514"/>
      <c r="BP514"/>
      <c r="BQ514"/>
    </row>
    <row r="515" spans="4:69" x14ac:dyDescent="0.25">
      <c r="D515"/>
      <c r="E515"/>
      <c r="F515"/>
      <c r="G515"/>
      <c r="J515"/>
      <c r="K515"/>
      <c r="L515"/>
      <c r="M515"/>
      <c r="O515"/>
      <c r="P515"/>
      <c r="Q515"/>
      <c r="R515"/>
      <c r="S515"/>
      <c r="T515"/>
      <c r="U515"/>
      <c r="V515"/>
      <c r="Y515"/>
      <c r="Z515"/>
      <c r="AA515"/>
      <c r="AB515"/>
      <c r="AF515"/>
      <c r="AG515"/>
      <c r="AH515"/>
      <c r="AI515"/>
      <c r="AJ515"/>
      <c r="AK515"/>
      <c r="AN515"/>
      <c r="AO515"/>
      <c r="AP515"/>
      <c r="AQ515"/>
      <c r="AR515"/>
      <c r="AS515"/>
      <c r="AV515"/>
      <c r="AW515"/>
      <c r="AX515"/>
      <c r="AY515"/>
      <c r="AZ515"/>
      <c r="BA515"/>
      <c r="BL515"/>
      <c r="BM515"/>
      <c r="BN515"/>
      <c r="BO515"/>
      <c r="BP515"/>
      <c r="BQ515"/>
    </row>
    <row r="516" spans="4:69" x14ac:dyDescent="0.25">
      <c r="D516"/>
      <c r="E516"/>
      <c r="F516"/>
      <c r="G516"/>
      <c r="J516"/>
      <c r="K516"/>
      <c r="L516"/>
      <c r="M516"/>
      <c r="O516"/>
      <c r="P516"/>
      <c r="Q516"/>
      <c r="R516"/>
      <c r="S516"/>
      <c r="T516"/>
      <c r="U516"/>
      <c r="V516"/>
      <c r="Y516"/>
      <c r="Z516"/>
      <c r="AA516"/>
      <c r="AB516"/>
      <c r="AF516"/>
      <c r="AG516"/>
      <c r="AH516"/>
      <c r="AI516"/>
      <c r="AJ516"/>
      <c r="AK516"/>
      <c r="AN516"/>
      <c r="AO516"/>
      <c r="AP516"/>
      <c r="AQ516"/>
      <c r="AR516"/>
      <c r="AS516"/>
      <c r="AV516"/>
      <c r="AW516"/>
      <c r="AX516"/>
      <c r="AY516"/>
      <c r="AZ516"/>
      <c r="BA516"/>
      <c r="BL516"/>
      <c r="BM516"/>
      <c r="BN516"/>
      <c r="BO516"/>
      <c r="BP516"/>
      <c r="BQ516"/>
    </row>
    <row r="517" spans="4:69" x14ac:dyDescent="0.25">
      <c r="D517"/>
      <c r="E517"/>
      <c r="F517"/>
      <c r="G517"/>
      <c r="J517"/>
      <c r="K517"/>
      <c r="L517"/>
      <c r="M517"/>
      <c r="O517"/>
      <c r="P517"/>
      <c r="Q517"/>
      <c r="R517"/>
      <c r="S517"/>
      <c r="T517"/>
      <c r="U517"/>
      <c r="V517"/>
      <c r="Y517"/>
      <c r="Z517"/>
      <c r="AA517"/>
      <c r="AB517"/>
      <c r="AF517"/>
      <c r="AG517"/>
      <c r="AH517"/>
      <c r="AI517"/>
      <c r="AJ517"/>
      <c r="AK517"/>
      <c r="AN517"/>
      <c r="AO517"/>
      <c r="AP517"/>
      <c r="AQ517"/>
      <c r="AR517"/>
      <c r="AS517"/>
      <c r="AV517"/>
      <c r="AW517"/>
      <c r="AX517"/>
      <c r="AY517"/>
      <c r="AZ517"/>
      <c r="BA517"/>
      <c r="BL517"/>
      <c r="BM517"/>
      <c r="BN517"/>
      <c r="BO517"/>
      <c r="BP517"/>
      <c r="BQ517"/>
    </row>
    <row r="518" spans="4:69" x14ac:dyDescent="0.25">
      <c r="D518"/>
      <c r="E518"/>
      <c r="F518"/>
      <c r="G518"/>
      <c r="J518"/>
      <c r="K518"/>
      <c r="L518"/>
      <c r="M518"/>
      <c r="O518"/>
      <c r="P518"/>
      <c r="Q518"/>
      <c r="R518"/>
      <c r="S518"/>
      <c r="T518"/>
      <c r="U518"/>
      <c r="V518"/>
      <c r="Y518"/>
      <c r="Z518"/>
      <c r="AA518"/>
      <c r="AB518"/>
      <c r="AF518"/>
      <c r="AG518"/>
      <c r="AH518"/>
      <c r="AI518"/>
      <c r="AJ518"/>
      <c r="AK518"/>
      <c r="AN518"/>
      <c r="AO518"/>
      <c r="AP518"/>
      <c r="AQ518"/>
      <c r="AR518"/>
      <c r="AS518"/>
      <c r="AV518"/>
      <c r="AW518"/>
      <c r="AX518"/>
      <c r="AY518"/>
      <c r="AZ518"/>
      <c r="BA518"/>
      <c r="BL518"/>
      <c r="BM518"/>
      <c r="BN518"/>
      <c r="BO518"/>
      <c r="BP518"/>
      <c r="BQ518"/>
    </row>
    <row r="519" spans="4:69" x14ac:dyDescent="0.25">
      <c r="D519"/>
      <c r="E519"/>
      <c r="F519"/>
      <c r="G519"/>
      <c r="J519"/>
      <c r="K519"/>
      <c r="L519"/>
      <c r="M519"/>
      <c r="O519"/>
      <c r="P519"/>
      <c r="Q519"/>
      <c r="R519"/>
      <c r="S519"/>
      <c r="T519"/>
      <c r="U519"/>
      <c r="V519"/>
      <c r="Y519"/>
      <c r="Z519"/>
      <c r="AA519"/>
      <c r="AB519"/>
      <c r="AF519"/>
      <c r="AG519"/>
      <c r="AH519"/>
      <c r="AI519"/>
      <c r="AJ519"/>
      <c r="AK519"/>
      <c r="AN519"/>
      <c r="AO519"/>
      <c r="AP519"/>
      <c r="AQ519"/>
      <c r="AR519"/>
      <c r="AS519"/>
      <c r="AV519"/>
      <c r="AW519"/>
      <c r="AX519"/>
      <c r="AY519"/>
      <c r="AZ519"/>
      <c r="BA519"/>
      <c r="BL519"/>
      <c r="BM519"/>
      <c r="BN519"/>
      <c r="BO519"/>
      <c r="BP519"/>
      <c r="BQ519"/>
    </row>
    <row r="520" spans="4:69" x14ac:dyDescent="0.25">
      <c r="D520"/>
      <c r="E520"/>
      <c r="F520"/>
      <c r="G520"/>
      <c r="J520"/>
      <c r="K520"/>
      <c r="L520"/>
      <c r="M520"/>
      <c r="O520"/>
      <c r="P520"/>
      <c r="Q520"/>
      <c r="R520"/>
      <c r="S520"/>
      <c r="T520"/>
      <c r="U520"/>
      <c r="V520"/>
      <c r="Y520"/>
      <c r="Z520"/>
      <c r="AA520"/>
      <c r="AB520"/>
      <c r="AF520"/>
      <c r="AG520"/>
      <c r="AH520"/>
      <c r="AI520"/>
      <c r="AJ520"/>
      <c r="AK520"/>
      <c r="AN520"/>
      <c r="AO520"/>
      <c r="AP520"/>
      <c r="AQ520"/>
      <c r="AR520"/>
      <c r="AS520"/>
      <c r="AV520"/>
      <c r="AW520"/>
      <c r="AX520"/>
      <c r="AY520"/>
      <c r="AZ520"/>
      <c r="BA520"/>
      <c r="BL520"/>
      <c r="BM520"/>
      <c r="BN520"/>
      <c r="BO520"/>
      <c r="BP520"/>
      <c r="BQ520"/>
    </row>
    <row r="521" spans="4:69" x14ac:dyDescent="0.25">
      <c r="D521"/>
      <c r="E521"/>
      <c r="F521"/>
      <c r="G521"/>
      <c r="J521"/>
      <c r="K521"/>
      <c r="L521"/>
      <c r="M521"/>
      <c r="O521"/>
      <c r="P521"/>
      <c r="Q521"/>
      <c r="R521"/>
      <c r="S521"/>
      <c r="T521"/>
      <c r="U521"/>
      <c r="V521"/>
      <c r="Y521"/>
      <c r="Z521"/>
      <c r="AA521"/>
      <c r="AB521"/>
      <c r="AF521"/>
      <c r="AG521"/>
      <c r="AH521"/>
      <c r="AI521"/>
      <c r="AJ521"/>
      <c r="AK521"/>
      <c r="AN521"/>
      <c r="AO521"/>
      <c r="AP521"/>
      <c r="AQ521"/>
      <c r="AR521"/>
      <c r="AS521"/>
      <c r="AV521"/>
      <c r="AW521"/>
      <c r="AX521"/>
      <c r="AY521"/>
      <c r="AZ521"/>
      <c r="BA521"/>
      <c r="BL521"/>
      <c r="BM521"/>
      <c r="BN521"/>
      <c r="BO521"/>
      <c r="BP521"/>
      <c r="BQ521"/>
    </row>
    <row r="522" spans="4:69" x14ac:dyDescent="0.25">
      <c r="D522"/>
      <c r="E522"/>
      <c r="F522"/>
      <c r="G522"/>
      <c r="J522"/>
      <c r="K522"/>
      <c r="L522"/>
      <c r="M522"/>
      <c r="O522"/>
      <c r="P522"/>
      <c r="Q522"/>
      <c r="R522"/>
      <c r="S522"/>
      <c r="T522"/>
      <c r="U522"/>
      <c r="V522"/>
      <c r="Y522"/>
      <c r="Z522"/>
      <c r="AA522"/>
      <c r="AB522"/>
      <c r="AF522"/>
      <c r="AG522"/>
      <c r="AH522"/>
      <c r="AI522"/>
      <c r="AJ522"/>
      <c r="AK522"/>
      <c r="AN522"/>
      <c r="AO522"/>
      <c r="AP522"/>
      <c r="AQ522"/>
      <c r="AR522"/>
      <c r="AS522"/>
      <c r="AV522"/>
      <c r="AW522"/>
      <c r="AX522"/>
      <c r="AY522"/>
      <c r="AZ522"/>
      <c r="BA522"/>
      <c r="BL522"/>
      <c r="BM522"/>
      <c r="BN522"/>
      <c r="BO522"/>
      <c r="BP522"/>
      <c r="BQ522"/>
    </row>
    <row r="523" spans="4:69" x14ac:dyDescent="0.25">
      <c r="D523"/>
      <c r="E523"/>
      <c r="F523"/>
      <c r="G523"/>
      <c r="J523"/>
      <c r="K523"/>
      <c r="L523"/>
      <c r="M523"/>
      <c r="O523"/>
      <c r="P523"/>
      <c r="Q523"/>
      <c r="R523"/>
      <c r="S523"/>
      <c r="T523"/>
      <c r="U523"/>
      <c r="V523"/>
      <c r="Y523"/>
      <c r="Z523"/>
      <c r="AA523"/>
      <c r="AB523"/>
      <c r="AF523"/>
      <c r="AG523"/>
      <c r="AH523"/>
      <c r="AI523"/>
      <c r="AJ523"/>
      <c r="AK523"/>
      <c r="AN523"/>
      <c r="AO523"/>
      <c r="AP523"/>
      <c r="AQ523"/>
      <c r="AR523"/>
      <c r="AS523"/>
      <c r="AV523"/>
      <c r="AW523"/>
      <c r="AX523"/>
      <c r="AY523"/>
      <c r="AZ523"/>
      <c r="BA523"/>
      <c r="BL523"/>
      <c r="BM523"/>
      <c r="BN523"/>
      <c r="BO523"/>
      <c r="BP523"/>
      <c r="BQ523"/>
    </row>
    <row r="524" spans="4:69" x14ac:dyDescent="0.25">
      <c r="D524"/>
      <c r="E524"/>
      <c r="F524"/>
      <c r="G524"/>
      <c r="J524"/>
      <c r="K524"/>
      <c r="L524"/>
      <c r="M524"/>
      <c r="O524"/>
      <c r="P524"/>
      <c r="Q524"/>
      <c r="R524"/>
      <c r="S524"/>
      <c r="T524"/>
      <c r="U524"/>
      <c r="V524"/>
      <c r="Y524"/>
      <c r="Z524"/>
      <c r="AA524"/>
      <c r="AB524"/>
      <c r="AF524"/>
      <c r="AG524"/>
      <c r="AH524"/>
      <c r="AI524"/>
      <c r="AJ524"/>
      <c r="AK524"/>
      <c r="AN524"/>
      <c r="AO524"/>
      <c r="AP524"/>
      <c r="AQ524"/>
      <c r="AR524"/>
      <c r="AS524"/>
      <c r="AV524"/>
      <c r="AW524"/>
      <c r="AX524"/>
      <c r="AY524"/>
      <c r="AZ524"/>
      <c r="BA524"/>
      <c r="BL524"/>
      <c r="BM524"/>
      <c r="BN524"/>
      <c r="BO524"/>
      <c r="BP524"/>
      <c r="BQ524"/>
    </row>
    <row r="525" spans="4:69" x14ac:dyDescent="0.25">
      <c r="D525"/>
      <c r="E525"/>
      <c r="F525"/>
      <c r="G525"/>
      <c r="J525"/>
      <c r="K525"/>
      <c r="L525"/>
      <c r="M525"/>
      <c r="O525"/>
      <c r="P525"/>
      <c r="Q525"/>
      <c r="R525"/>
      <c r="S525"/>
      <c r="T525"/>
      <c r="U525"/>
      <c r="V525"/>
      <c r="Y525"/>
      <c r="Z525"/>
      <c r="AA525"/>
      <c r="AB525"/>
      <c r="AF525"/>
      <c r="AG525"/>
      <c r="AH525"/>
      <c r="AI525"/>
      <c r="AJ525"/>
      <c r="AK525"/>
      <c r="AN525"/>
      <c r="AO525"/>
      <c r="AP525"/>
      <c r="AQ525"/>
      <c r="AR525"/>
      <c r="AS525"/>
      <c r="AV525"/>
      <c r="AW525"/>
      <c r="AX525"/>
      <c r="AY525"/>
      <c r="AZ525"/>
      <c r="BA525"/>
      <c r="BL525"/>
      <c r="BM525"/>
      <c r="BN525"/>
      <c r="BO525"/>
      <c r="BP525"/>
      <c r="BQ525"/>
    </row>
    <row r="526" spans="4:69" x14ac:dyDescent="0.25">
      <c r="D526"/>
      <c r="E526"/>
      <c r="F526"/>
      <c r="G526"/>
      <c r="J526"/>
      <c r="K526"/>
      <c r="L526"/>
      <c r="M526"/>
      <c r="O526"/>
      <c r="P526"/>
      <c r="Q526"/>
      <c r="R526"/>
      <c r="S526"/>
      <c r="T526"/>
      <c r="U526"/>
      <c r="V526"/>
      <c r="Y526"/>
      <c r="Z526"/>
      <c r="AA526"/>
      <c r="AB526"/>
      <c r="AF526"/>
      <c r="AG526"/>
      <c r="AH526"/>
      <c r="AI526"/>
      <c r="AJ526"/>
      <c r="AK526"/>
      <c r="AN526"/>
      <c r="AO526"/>
      <c r="AP526"/>
      <c r="AQ526"/>
      <c r="AR526"/>
      <c r="AS526"/>
      <c r="AV526"/>
      <c r="AW526"/>
      <c r="AX526"/>
      <c r="AY526"/>
      <c r="AZ526"/>
      <c r="BA526"/>
      <c r="BL526"/>
      <c r="BM526"/>
      <c r="BN526"/>
      <c r="BO526"/>
      <c r="BP526"/>
      <c r="BQ526"/>
    </row>
    <row r="527" spans="4:69" x14ac:dyDescent="0.25">
      <c r="D527"/>
      <c r="E527"/>
      <c r="F527"/>
      <c r="G527"/>
      <c r="J527"/>
      <c r="K527"/>
      <c r="L527"/>
      <c r="M527"/>
      <c r="O527"/>
      <c r="P527"/>
      <c r="Q527"/>
      <c r="R527"/>
      <c r="S527"/>
      <c r="T527"/>
      <c r="U527"/>
      <c r="V527"/>
      <c r="Y527"/>
      <c r="Z527"/>
      <c r="AA527"/>
      <c r="AB527"/>
      <c r="AF527"/>
      <c r="AG527"/>
      <c r="AH527"/>
      <c r="AI527"/>
      <c r="AJ527"/>
      <c r="AK527"/>
      <c r="AN527"/>
      <c r="AO527"/>
      <c r="AP527"/>
      <c r="AQ527"/>
      <c r="AR527"/>
      <c r="AS527"/>
      <c r="AV527"/>
      <c r="AW527"/>
      <c r="AX527"/>
      <c r="AY527"/>
      <c r="AZ527"/>
      <c r="BA527"/>
      <c r="BL527"/>
      <c r="BM527"/>
      <c r="BN527"/>
      <c r="BO527"/>
      <c r="BP527"/>
      <c r="BQ527"/>
    </row>
    <row r="528" spans="4:69" x14ac:dyDescent="0.25">
      <c r="D528"/>
      <c r="E528"/>
      <c r="F528"/>
      <c r="G528"/>
      <c r="J528"/>
      <c r="K528"/>
      <c r="L528"/>
      <c r="M528"/>
      <c r="O528"/>
      <c r="P528"/>
      <c r="Q528"/>
      <c r="R528"/>
      <c r="S528"/>
      <c r="T528"/>
      <c r="U528"/>
      <c r="V528"/>
      <c r="Y528"/>
      <c r="Z528"/>
      <c r="AA528"/>
      <c r="AB528"/>
      <c r="AF528"/>
      <c r="AG528"/>
      <c r="AH528"/>
      <c r="AI528"/>
      <c r="AJ528"/>
      <c r="AK528"/>
      <c r="AN528"/>
      <c r="AO528"/>
      <c r="AP528"/>
      <c r="AQ528"/>
      <c r="AR528"/>
      <c r="AS528"/>
      <c r="AV528"/>
      <c r="AW528"/>
      <c r="AX528"/>
      <c r="AY528"/>
      <c r="AZ528"/>
      <c r="BA528"/>
      <c r="BL528"/>
      <c r="BM528"/>
      <c r="BN528"/>
      <c r="BO528"/>
      <c r="BP528"/>
      <c r="BQ528"/>
    </row>
    <row r="529" spans="4:69" x14ac:dyDescent="0.25">
      <c r="D529"/>
      <c r="E529"/>
      <c r="F529"/>
      <c r="G529"/>
      <c r="J529"/>
      <c r="K529"/>
      <c r="L529"/>
      <c r="M529"/>
      <c r="O529"/>
      <c r="P529"/>
      <c r="Q529"/>
      <c r="R529"/>
      <c r="S529"/>
      <c r="T529"/>
      <c r="U529"/>
      <c r="V529"/>
      <c r="Y529"/>
      <c r="Z529"/>
      <c r="AA529"/>
      <c r="AB529"/>
      <c r="AF529"/>
      <c r="AG529"/>
      <c r="AH529"/>
      <c r="AI529"/>
      <c r="AJ529"/>
      <c r="AK529"/>
      <c r="AN529"/>
      <c r="AO529"/>
      <c r="AP529"/>
      <c r="AQ529"/>
      <c r="AR529"/>
      <c r="AS529"/>
      <c r="AV529"/>
      <c r="AW529"/>
      <c r="AX529"/>
      <c r="AY529"/>
      <c r="AZ529"/>
      <c r="BA529"/>
      <c r="BL529"/>
      <c r="BM529"/>
      <c r="BN529"/>
      <c r="BO529"/>
      <c r="BP529"/>
      <c r="BQ529"/>
    </row>
    <row r="530" spans="4:69" x14ac:dyDescent="0.25">
      <c r="D530"/>
      <c r="E530"/>
      <c r="F530"/>
      <c r="G530"/>
      <c r="J530"/>
      <c r="K530"/>
      <c r="L530"/>
      <c r="M530"/>
      <c r="O530"/>
      <c r="P530"/>
      <c r="Q530"/>
      <c r="R530"/>
      <c r="S530"/>
      <c r="T530"/>
      <c r="U530"/>
      <c r="V530"/>
      <c r="Y530"/>
      <c r="Z530"/>
      <c r="AA530"/>
      <c r="AB530"/>
      <c r="AF530"/>
      <c r="AG530"/>
      <c r="AH530"/>
      <c r="AI530"/>
      <c r="AJ530"/>
      <c r="AK530"/>
      <c r="AN530"/>
      <c r="AO530"/>
      <c r="AP530"/>
      <c r="AQ530"/>
      <c r="AR530"/>
      <c r="AS530"/>
      <c r="AV530"/>
      <c r="AW530"/>
      <c r="AX530"/>
      <c r="AY530"/>
      <c r="AZ530"/>
      <c r="BA530"/>
      <c r="BL530"/>
      <c r="BM530"/>
      <c r="BN530"/>
      <c r="BO530"/>
      <c r="BP530"/>
      <c r="BQ530"/>
    </row>
    <row r="531" spans="4:69" x14ac:dyDescent="0.25">
      <c r="D531"/>
      <c r="E531"/>
      <c r="F531"/>
      <c r="G531"/>
      <c r="J531"/>
      <c r="K531"/>
      <c r="L531"/>
      <c r="M531"/>
      <c r="O531"/>
      <c r="P531"/>
      <c r="Q531"/>
      <c r="R531"/>
      <c r="S531"/>
      <c r="T531"/>
      <c r="U531"/>
      <c r="V531"/>
      <c r="Y531"/>
      <c r="Z531"/>
      <c r="AA531"/>
      <c r="AB531"/>
      <c r="AF531"/>
      <c r="AG531"/>
      <c r="AH531"/>
      <c r="AI531"/>
      <c r="AJ531"/>
      <c r="AK531"/>
      <c r="AN531"/>
      <c r="AO531"/>
      <c r="AP531"/>
      <c r="AQ531"/>
      <c r="AR531"/>
      <c r="AS531"/>
      <c r="AV531"/>
      <c r="AW531"/>
      <c r="AX531"/>
      <c r="AY531"/>
      <c r="AZ531"/>
      <c r="BA531"/>
      <c r="BL531"/>
      <c r="BM531"/>
      <c r="BN531"/>
      <c r="BO531"/>
      <c r="BP531"/>
      <c r="BQ531"/>
    </row>
    <row r="532" spans="4:69" x14ac:dyDescent="0.25">
      <c r="D532"/>
      <c r="E532"/>
      <c r="F532"/>
      <c r="G532"/>
      <c r="J532"/>
      <c r="K532"/>
      <c r="L532"/>
      <c r="M532"/>
      <c r="O532"/>
      <c r="P532"/>
      <c r="Q532"/>
      <c r="R532"/>
      <c r="S532"/>
      <c r="T532"/>
      <c r="U532"/>
      <c r="V532"/>
      <c r="Y532"/>
      <c r="Z532"/>
      <c r="AA532"/>
      <c r="AB532"/>
      <c r="AF532"/>
      <c r="AG532"/>
      <c r="AH532"/>
      <c r="AI532"/>
      <c r="AJ532"/>
      <c r="AK532"/>
      <c r="AN532"/>
      <c r="AO532"/>
      <c r="AP532"/>
      <c r="AQ532"/>
      <c r="AR532"/>
      <c r="AS532"/>
      <c r="AV532"/>
      <c r="AW532"/>
      <c r="AX532"/>
      <c r="AY532"/>
      <c r="AZ532"/>
      <c r="BA532"/>
      <c r="BL532"/>
      <c r="BM532"/>
      <c r="BN532"/>
      <c r="BO532"/>
      <c r="BP532"/>
      <c r="BQ532"/>
    </row>
    <row r="533" spans="4:69" x14ac:dyDescent="0.25">
      <c r="D533"/>
      <c r="E533"/>
      <c r="F533"/>
      <c r="G533"/>
      <c r="J533"/>
      <c r="K533"/>
      <c r="L533"/>
      <c r="M533"/>
      <c r="O533"/>
      <c r="P533"/>
      <c r="Q533"/>
      <c r="R533"/>
      <c r="S533"/>
      <c r="T533"/>
      <c r="U533"/>
      <c r="V533"/>
      <c r="Y533"/>
      <c r="Z533"/>
      <c r="AA533"/>
      <c r="AB533"/>
      <c r="AF533"/>
      <c r="AG533"/>
      <c r="AH533"/>
      <c r="AI533"/>
      <c r="AJ533"/>
      <c r="AK533"/>
      <c r="AN533"/>
      <c r="AO533"/>
      <c r="AP533"/>
      <c r="AQ533"/>
      <c r="AR533"/>
      <c r="AS533"/>
      <c r="AV533"/>
      <c r="AW533"/>
      <c r="AX533"/>
      <c r="AY533"/>
      <c r="AZ533"/>
      <c r="BA533"/>
      <c r="BL533"/>
      <c r="BM533"/>
      <c r="BN533"/>
      <c r="BO533"/>
      <c r="BP533"/>
      <c r="BQ533"/>
    </row>
    <row r="534" spans="4:69" x14ac:dyDescent="0.25">
      <c r="D534"/>
      <c r="E534"/>
      <c r="F534"/>
      <c r="G534"/>
      <c r="J534"/>
      <c r="K534"/>
      <c r="L534"/>
      <c r="M534"/>
      <c r="O534"/>
      <c r="P534"/>
      <c r="Q534"/>
      <c r="R534"/>
      <c r="S534"/>
      <c r="T534"/>
      <c r="U534"/>
      <c r="V534"/>
      <c r="Y534"/>
      <c r="Z534"/>
      <c r="AA534"/>
      <c r="AB534"/>
      <c r="AF534"/>
      <c r="AG534"/>
      <c r="AH534"/>
      <c r="AI534"/>
      <c r="AJ534"/>
      <c r="AK534"/>
      <c r="AN534"/>
      <c r="AO534"/>
      <c r="AP534"/>
      <c r="AQ534"/>
      <c r="AR534"/>
      <c r="AS534"/>
      <c r="AV534"/>
      <c r="AW534"/>
      <c r="AX534"/>
      <c r="AY534"/>
      <c r="AZ534"/>
      <c r="BA534"/>
      <c r="BL534"/>
      <c r="BM534"/>
      <c r="BN534"/>
      <c r="BO534"/>
      <c r="BP534"/>
      <c r="BQ534"/>
    </row>
    <row r="535" spans="4:69" x14ac:dyDescent="0.25">
      <c r="D535"/>
      <c r="E535"/>
      <c r="F535"/>
      <c r="G535"/>
      <c r="J535"/>
      <c r="K535"/>
      <c r="L535"/>
      <c r="M535"/>
      <c r="O535"/>
      <c r="P535"/>
      <c r="Q535"/>
      <c r="R535"/>
      <c r="S535"/>
      <c r="T535"/>
      <c r="U535"/>
      <c r="V535"/>
      <c r="Y535"/>
      <c r="Z535"/>
      <c r="AA535"/>
      <c r="AB535"/>
      <c r="AF535"/>
      <c r="AG535"/>
      <c r="AH535"/>
      <c r="AI535"/>
      <c r="AJ535"/>
      <c r="AK535"/>
      <c r="AN535"/>
      <c r="AO535"/>
      <c r="AP535"/>
      <c r="AQ535"/>
      <c r="AR535"/>
      <c r="AS535"/>
      <c r="AV535"/>
      <c r="AW535"/>
      <c r="AX535"/>
      <c r="AY535"/>
      <c r="AZ535"/>
      <c r="BA535"/>
      <c r="BL535"/>
      <c r="BM535"/>
      <c r="BN535"/>
      <c r="BO535"/>
      <c r="BP535"/>
      <c r="BQ535"/>
    </row>
    <row r="536" spans="4:69" x14ac:dyDescent="0.25">
      <c r="D536"/>
      <c r="E536"/>
      <c r="F536"/>
      <c r="G536"/>
      <c r="J536"/>
      <c r="K536"/>
      <c r="L536"/>
      <c r="M536"/>
      <c r="O536"/>
      <c r="P536"/>
      <c r="Q536"/>
      <c r="R536"/>
      <c r="S536"/>
      <c r="T536"/>
      <c r="U536"/>
      <c r="V536"/>
      <c r="Y536"/>
      <c r="Z536"/>
      <c r="AA536"/>
      <c r="AB536"/>
      <c r="AF536"/>
      <c r="AG536"/>
      <c r="AH536"/>
      <c r="AI536"/>
      <c r="AJ536"/>
      <c r="AK536"/>
      <c r="AN536"/>
      <c r="AO536"/>
      <c r="AP536"/>
      <c r="AQ536"/>
      <c r="AR536"/>
      <c r="AS536"/>
      <c r="AV536"/>
      <c r="AW536"/>
      <c r="AX536"/>
      <c r="AY536"/>
      <c r="AZ536"/>
      <c r="BA536"/>
      <c r="BL536"/>
      <c r="BM536"/>
      <c r="BN536"/>
      <c r="BO536"/>
      <c r="BP536"/>
      <c r="BQ536"/>
    </row>
    <row r="537" spans="4:69" x14ac:dyDescent="0.25">
      <c r="D537"/>
      <c r="E537"/>
      <c r="F537"/>
      <c r="G537"/>
      <c r="J537"/>
      <c r="K537"/>
      <c r="L537"/>
      <c r="M537"/>
      <c r="O537"/>
      <c r="P537"/>
      <c r="Q537"/>
      <c r="R537"/>
      <c r="S537"/>
      <c r="T537"/>
      <c r="U537"/>
      <c r="V537"/>
      <c r="Y537"/>
      <c r="Z537"/>
      <c r="AA537"/>
      <c r="AB537"/>
      <c r="AF537"/>
      <c r="AG537"/>
      <c r="AH537"/>
      <c r="AI537"/>
      <c r="AJ537"/>
      <c r="AK537"/>
      <c r="AN537"/>
      <c r="AO537"/>
      <c r="AP537"/>
      <c r="AQ537"/>
      <c r="AR537"/>
      <c r="AS537"/>
      <c r="AV537"/>
      <c r="AW537"/>
      <c r="AX537"/>
      <c r="AY537"/>
      <c r="AZ537"/>
      <c r="BA537"/>
      <c r="BL537"/>
      <c r="BM537"/>
      <c r="BN537"/>
      <c r="BO537"/>
      <c r="BP537"/>
      <c r="BQ537"/>
    </row>
    <row r="538" spans="4:69" x14ac:dyDescent="0.25">
      <c r="D538"/>
      <c r="E538"/>
      <c r="F538"/>
      <c r="G538"/>
      <c r="J538"/>
      <c r="K538"/>
      <c r="L538"/>
      <c r="M538"/>
      <c r="O538"/>
      <c r="P538"/>
      <c r="Q538"/>
      <c r="R538"/>
      <c r="S538"/>
      <c r="T538"/>
      <c r="U538"/>
      <c r="V538"/>
      <c r="Y538"/>
      <c r="Z538"/>
      <c r="AA538"/>
      <c r="AB538"/>
      <c r="AF538"/>
      <c r="AG538"/>
      <c r="AH538"/>
      <c r="AI538"/>
      <c r="AJ538"/>
      <c r="AK538"/>
      <c r="AN538"/>
      <c r="AO538"/>
      <c r="AP538"/>
      <c r="AQ538"/>
      <c r="AR538"/>
      <c r="AS538"/>
      <c r="AV538"/>
      <c r="AW538"/>
      <c r="AX538"/>
      <c r="AY538"/>
      <c r="AZ538"/>
      <c r="BA538"/>
      <c r="BL538"/>
      <c r="BM538"/>
      <c r="BN538"/>
      <c r="BO538"/>
      <c r="BP538"/>
      <c r="BQ538"/>
    </row>
    <row r="539" spans="4:69" x14ac:dyDescent="0.25">
      <c r="D539"/>
      <c r="E539"/>
      <c r="F539"/>
      <c r="G539"/>
      <c r="J539"/>
      <c r="K539"/>
      <c r="L539"/>
      <c r="M539"/>
      <c r="O539"/>
      <c r="P539"/>
      <c r="Q539"/>
      <c r="R539"/>
      <c r="S539"/>
      <c r="T539"/>
      <c r="U539"/>
      <c r="V539"/>
      <c r="Y539"/>
      <c r="Z539"/>
      <c r="AA539"/>
      <c r="AB539"/>
      <c r="AF539"/>
      <c r="AG539"/>
      <c r="AH539"/>
      <c r="AI539"/>
      <c r="AJ539"/>
      <c r="AK539"/>
      <c r="AN539"/>
      <c r="AO539"/>
      <c r="AP539"/>
      <c r="AQ539"/>
      <c r="AR539"/>
      <c r="AS539"/>
      <c r="AV539"/>
      <c r="AW539"/>
      <c r="AX539"/>
      <c r="AY539"/>
      <c r="AZ539"/>
      <c r="BA539"/>
      <c r="BL539"/>
      <c r="BM539"/>
      <c r="BN539"/>
      <c r="BO539"/>
      <c r="BP539"/>
      <c r="BQ539"/>
    </row>
    <row r="540" spans="4:69" x14ac:dyDescent="0.25">
      <c r="D540"/>
      <c r="E540"/>
      <c r="F540"/>
      <c r="G540"/>
      <c r="J540"/>
      <c r="K540"/>
      <c r="L540"/>
      <c r="M540"/>
      <c r="O540"/>
      <c r="P540"/>
      <c r="Q540"/>
      <c r="R540"/>
      <c r="S540"/>
      <c r="T540"/>
      <c r="U540"/>
      <c r="V540"/>
      <c r="Y540"/>
      <c r="Z540"/>
      <c r="AA540"/>
      <c r="AB540"/>
      <c r="AF540"/>
      <c r="AG540"/>
      <c r="AH540"/>
      <c r="AI540"/>
      <c r="AJ540"/>
      <c r="AK540"/>
      <c r="AN540"/>
      <c r="AO540"/>
      <c r="AP540"/>
      <c r="AQ540"/>
      <c r="AR540"/>
      <c r="AS540"/>
      <c r="AV540"/>
      <c r="AW540"/>
      <c r="AX540"/>
      <c r="AY540"/>
      <c r="AZ540"/>
      <c r="BA540"/>
      <c r="BL540"/>
      <c r="BM540"/>
      <c r="BN540"/>
      <c r="BO540"/>
      <c r="BP540"/>
      <c r="BQ540"/>
    </row>
    <row r="541" spans="4:69" x14ac:dyDescent="0.25">
      <c r="D541"/>
      <c r="E541"/>
      <c r="F541"/>
      <c r="G541"/>
      <c r="J541"/>
      <c r="K541"/>
      <c r="L541"/>
      <c r="M541"/>
      <c r="O541"/>
      <c r="P541"/>
      <c r="Q541"/>
      <c r="R541"/>
      <c r="S541"/>
      <c r="T541"/>
      <c r="U541"/>
      <c r="V541"/>
      <c r="Y541"/>
      <c r="Z541"/>
      <c r="AA541"/>
      <c r="AB541"/>
      <c r="AF541"/>
      <c r="AG541"/>
      <c r="AH541"/>
      <c r="AI541"/>
      <c r="AJ541"/>
      <c r="AK541"/>
      <c r="AN541"/>
      <c r="AO541"/>
      <c r="AP541"/>
      <c r="AQ541"/>
      <c r="AR541"/>
      <c r="AS541"/>
      <c r="AV541"/>
      <c r="AW541"/>
      <c r="AX541"/>
      <c r="AY541"/>
      <c r="AZ541"/>
      <c r="BA541"/>
      <c r="BL541"/>
      <c r="BM541"/>
      <c r="BN541"/>
      <c r="BO541"/>
      <c r="BP541"/>
      <c r="BQ541"/>
    </row>
    <row r="542" spans="4:69" x14ac:dyDescent="0.25">
      <c r="D542"/>
      <c r="E542"/>
      <c r="F542"/>
      <c r="G542"/>
      <c r="J542"/>
      <c r="K542"/>
      <c r="L542"/>
      <c r="M542"/>
      <c r="O542"/>
      <c r="P542"/>
      <c r="Q542"/>
      <c r="R542"/>
      <c r="S542"/>
      <c r="T542"/>
      <c r="U542"/>
      <c r="V542"/>
      <c r="Y542"/>
      <c r="Z542"/>
      <c r="AA542"/>
      <c r="AB542"/>
      <c r="AF542"/>
      <c r="AG542"/>
      <c r="AH542"/>
      <c r="AI542"/>
      <c r="AJ542"/>
      <c r="AK542"/>
      <c r="AN542"/>
      <c r="AO542"/>
      <c r="AP542"/>
      <c r="AQ542"/>
      <c r="AR542"/>
      <c r="AS542"/>
      <c r="AV542"/>
      <c r="AW542"/>
      <c r="AX542"/>
      <c r="AY542"/>
      <c r="AZ542"/>
      <c r="BA542"/>
      <c r="BL542"/>
      <c r="BM542"/>
      <c r="BN542"/>
      <c r="BO542"/>
      <c r="BP542"/>
      <c r="BQ542"/>
    </row>
    <row r="543" spans="4:69" x14ac:dyDescent="0.25">
      <c r="D543"/>
      <c r="E543"/>
      <c r="F543"/>
      <c r="G543"/>
      <c r="J543"/>
      <c r="K543"/>
      <c r="L543"/>
      <c r="M543"/>
      <c r="O543"/>
      <c r="P543"/>
      <c r="Q543"/>
      <c r="R543"/>
      <c r="S543"/>
      <c r="T543"/>
      <c r="U543"/>
      <c r="V543"/>
      <c r="Y543"/>
      <c r="Z543"/>
      <c r="AA543"/>
      <c r="AB543"/>
      <c r="AF543"/>
      <c r="AG543"/>
      <c r="AH543"/>
      <c r="AI543"/>
      <c r="AJ543"/>
      <c r="AK543"/>
      <c r="AN543"/>
      <c r="AO543"/>
      <c r="AP543"/>
      <c r="AQ543"/>
      <c r="AR543"/>
      <c r="AS543"/>
      <c r="AV543"/>
      <c r="AW543"/>
      <c r="AX543"/>
      <c r="AY543"/>
      <c r="AZ543"/>
      <c r="BA543"/>
      <c r="BL543"/>
      <c r="BM543"/>
      <c r="BN543"/>
      <c r="BO543"/>
      <c r="BP543"/>
      <c r="BQ543"/>
    </row>
    <row r="544" spans="4:69" x14ac:dyDescent="0.25">
      <c r="D544"/>
      <c r="E544"/>
      <c r="F544"/>
      <c r="G544"/>
      <c r="J544"/>
      <c r="K544"/>
      <c r="L544"/>
      <c r="M544"/>
      <c r="O544"/>
      <c r="P544"/>
      <c r="Q544"/>
      <c r="R544"/>
      <c r="S544"/>
      <c r="T544"/>
      <c r="U544"/>
      <c r="V544"/>
      <c r="Y544"/>
      <c r="Z544"/>
      <c r="AA544"/>
      <c r="AB544"/>
      <c r="AF544"/>
      <c r="AG544"/>
      <c r="AH544"/>
      <c r="AI544"/>
      <c r="AJ544"/>
      <c r="AK544"/>
      <c r="AN544"/>
      <c r="AO544"/>
      <c r="AP544"/>
      <c r="AQ544"/>
      <c r="AR544"/>
      <c r="AS544"/>
      <c r="AV544"/>
      <c r="AW544"/>
      <c r="AX544"/>
      <c r="AY544"/>
      <c r="AZ544"/>
      <c r="BA544"/>
      <c r="BL544"/>
      <c r="BM544"/>
      <c r="BN544"/>
      <c r="BO544"/>
      <c r="BP544"/>
      <c r="BQ544"/>
    </row>
    <row r="545" spans="4:69" x14ac:dyDescent="0.25">
      <c r="D545"/>
      <c r="E545"/>
      <c r="F545"/>
      <c r="G545"/>
      <c r="J545"/>
      <c r="K545"/>
      <c r="L545"/>
      <c r="M545"/>
      <c r="O545"/>
      <c r="P545"/>
      <c r="Q545"/>
      <c r="R545"/>
      <c r="S545"/>
      <c r="T545"/>
      <c r="U545"/>
      <c r="V545"/>
      <c r="Y545"/>
      <c r="Z545"/>
      <c r="AA545"/>
      <c r="AB545"/>
      <c r="AF545"/>
      <c r="AG545"/>
      <c r="AH545"/>
      <c r="AI545"/>
      <c r="AJ545"/>
      <c r="AK545"/>
      <c r="AN545"/>
      <c r="AO545"/>
      <c r="AP545"/>
      <c r="AQ545"/>
      <c r="AR545"/>
      <c r="AS545"/>
      <c r="AV545"/>
      <c r="AW545"/>
      <c r="AX545"/>
      <c r="AY545"/>
      <c r="AZ545"/>
      <c r="BA545"/>
      <c r="BL545"/>
      <c r="BM545"/>
      <c r="BN545"/>
      <c r="BO545"/>
      <c r="BP545"/>
      <c r="BQ545"/>
    </row>
    <row r="546" spans="4:69" x14ac:dyDescent="0.25">
      <c r="D546"/>
      <c r="E546"/>
      <c r="F546"/>
      <c r="G546"/>
      <c r="J546"/>
      <c r="K546"/>
      <c r="L546"/>
      <c r="M546"/>
      <c r="O546"/>
      <c r="P546"/>
      <c r="Q546"/>
      <c r="R546"/>
      <c r="S546"/>
      <c r="T546"/>
      <c r="U546"/>
      <c r="V546"/>
      <c r="Y546"/>
      <c r="Z546"/>
      <c r="AA546"/>
      <c r="AB546"/>
      <c r="AF546"/>
      <c r="AG546"/>
      <c r="AH546"/>
      <c r="AI546"/>
      <c r="AJ546"/>
      <c r="AK546"/>
      <c r="AN546"/>
      <c r="AO546"/>
      <c r="AP546"/>
      <c r="AQ546"/>
      <c r="AR546"/>
      <c r="AS546"/>
      <c r="AV546"/>
      <c r="AW546"/>
      <c r="AX546"/>
      <c r="AY546"/>
      <c r="AZ546"/>
      <c r="BA546"/>
      <c r="BL546"/>
      <c r="BM546"/>
      <c r="BN546"/>
      <c r="BO546"/>
      <c r="BP546"/>
      <c r="BQ546"/>
    </row>
    <row r="547" spans="4:69" x14ac:dyDescent="0.25">
      <c r="D547"/>
      <c r="E547"/>
      <c r="F547"/>
      <c r="G547"/>
      <c r="J547"/>
      <c r="K547"/>
      <c r="L547"/>
      <c r="M547"/>
      <c r="O547"/>
      <c r="P547"/>
      <c r="Q547"/>
      <c r="R547"/>
      <c r="S547"/>
      <c r="T547"/>
      <c r="U547"/>
      <c r="V547"/>
      <c r="Y547"/>
      <c r="Z547"/>
      <c r="AA547"/>
      <c r="AB547"/>
      <c r="AF547"/>
      <c r="AG547"/>
      <c r="AH547"/>
      <c r="AI547"/>
      <c r="AJ547"/>
      <c r="AK547"/>
      <c r="AN547"/>
      <c r="AO547"/>
      <c r="AP547"/>
      <c r="AQ547"/>
      <c r="AR547"/>
      <c r="AS547"/>
      <c r="AV547"/>
      <c r="AW547"/>
      <c r="AX547"/>
      <c r="AY547"/>
      <c r="AZ547"/>
      <c r="BA547"/>
      <c r="BL547"/>
      <c r="BM547"/>
      <c r="BN547"/>
      <c r="BO547"/>
      <c r="BP547"/>
      <c r="BQ547"/>
    </row>
    <row r="548" spans="4:69" x14ac:dyDescent="0.25">
      <c r="D548"/>
      <c r="E548"/>
      <c r="F548"/>
      <c r="G548"/>
      <c r="J548"/>
      <c r="K548"/>
      <c r="L548"/>
      <c r="M548"/>
      <c r="O548"/>
      <c r="P548"/>
      <c r="Q548"/>
      <c r="R548"/>
      <c r="S548"/>
      <c r="T548"/>
      <c r="U548"/>
      <c r="V548"/>
      <c r="Y548"/>
      <c r="Z548"/>
      <c r="AA548"/>
      <c r="AB548"/>
      <c r="AF548"/>
      <c r="AG548"/>
      <c r="AH548"/>
      <c r="AI548"/>
      <c r="AJ548"/>
      <c r="AK548"/>
      <c r="AN548"/>
      <c r="AO548"/>
      <c r="AP548"/>
      <c r="AQ548"/>
      <c r="AR548"/>
      <c r="AS548"/>
      <c r="AV548"/>
      <c r="AW548"/>
      <c r="AX548"/>
      <c r="AY548"/>
      <c r="AZ548"/>
      <c r="BA548"/>
      <c r="BL548"/>
      <c r="BM548"/>
      <c r="BN548"/>
      <c r="BO548"/>
      <c r="BP548"/>
      <c r="BQ548"/>
    </row>
    <row r="549" spans="4:69" x14ac:dyDescent="0.25">
      <c r="D549"/>
      <c r="E549"/>
      <c r="F549"/>
      <c r="G549"/>
      <c r="J549"/>
      <c r="K549"/>
      <c r="L549"/>
      <c r="M549"/>
      <c r="O549"/>
      <c r="P549"/>
      <c r="Q549"/>
      <c r="R549"/>
      <c r="S549"/>
      <c r="T549"/>
      <c r="U549"/>
      <c r="V549"/>
      <c r="Y549"/>
      <c r="Z549"/>
      <c r="AA549"/>
      <c r="AB549"/>
      <c r="AF549"/>
      <c r="AG549"/>
      <c r="AH549"/>
      <c r="AI549"/>
      <c r="AJ549"/>
      <c r="AK549"/>
      <c r="AN549"/>
      <c r="AO549"/>
      <c r="AP549"/>
      <c r="AQ549"/>
      <c r="AR549"/>
      <c r="AS549"/>
      <c r="AV549"/>
      <c r="AW549"/>
      <c r="AX549"/>
      <c r="AY549"/>
      <c r="AZ549"/>
      <c r="BA549"/>
      <c r="BL549"/>
      <c r="BM549"/>
      <c r="BN549"/>
      <c r="BO549"/>
      <c r="BP549"/>
      <c r="BQ549"/>
    </row>
    <row r="550" spans="4:69" x14ac:dyDescent="0.25">
      <c r="D550"/>
      <c r="E550"/>
      <c r="F550"/>
      <c r="G550"/>
      <c r="J550"/>
      <c r="K550"/>
      <c r="L550"/>
      <c r="M550"/>
      <c r="O550"/>
      <c r="P550"/>
      <c r="Q550"/>
      <c r="R550"/>
      <c r="S550"/>
      <c r="T550"/>
      <c r="U550"/>
      <c r="V550"/>
      <c r="Y550"/>
      <c r="Z550"/>
      <c r="AA550"/>
      <c r="AB550"/>
      <c r="AF550"/>
      <c r="AG550"/>
      <c r="AH550"/>
      <c r="AI550"/>
      <c r="AJ550"/>
      <c r="AK550"/>
      <c r="AN550"/>
      <c r="AO550"/>
      <c r="AP550"/>
      <c r="AQ550"/>
      <c r="AR550"/>
      <c r="AS550"/>
      <c r="AV550"/>
      <c r="AW550"/>
      <c r="AX550"/>
      <c r="AY550"/>
      <c r="AZ550"/>
      <c r="BA550"/>
      <c r="BL550"/>
      <c r="BM550"/>
      <c r="BN550"/>
      <c r="BO550"/>
      <c r="BP550"/>
      <c r="BQ550"/>
    </row>
    <row r="551" spans="4:69" x14ac:dyDescent="0.25">
      <c r="D551"/>
      <c r="E551"/>
      <c r="F551"/>
      <c r="G551"/>
      <c r="J551"/>
      <c r="K551"/>
      <c r="L551"/>
      <c r="M551"/>
      <c r="O551"/>
      <c r="P551"/>
      <c r="Q551"/>
      <c r="R551"/>
      <c r="S551"/>
      <c r="T551"/>
      <c r="U551"/>
      <c r="V551"/>
      <c r="Y551"/>
      <c r="Z551"/>
      <c r="AA551"/>
      <c r="AB551"/>
      <c r="AF551"/>
      <c r="AG551"/>
      <c r="AH551"/>
      <c r="AI551"/>
      <c r="AJ551"/>
      <c r="AK551"/>
      <c r="AN551"/>
      <c r="AO551"/>
      <c r="AP551"/>
      <c r="AQ551"/>
      <c r="AR551"/>
      <c r="AS551"/>
      <c r="AV551"/>
      <c r="AW551"/>
      <c r="AX551"/>
      <c r="AY551"/>
      <c r="AZ551"/>
      <c r="BA551"/>
      <c r="BL551"/>
      <c r="BM551"/>
      <c r="BN551"/>
      <c r="BO551"/>
      <c r="BP551"/>
      <c r="BQ551"/>
    </row>
    <row r="552" spans="4:69" x14ac:dyDescent="0.25">
      <c r="D552"/>
      <c r="E552"/>
      <c r="F552"/>
      <c r="G552"/>
      <c r="J552"/>
      <c r="K552"/>
      <c r="L552"/>
      <c r="M552"/>
      <c r="O552"/>
      <c r="P552"/>
      <c r="Q552"/>
      <c r="R552"/>
      <c r="S552"/>
      <c r="T552"/>
      <c r="U552"/>
      <c r="V552"/>
      <c r="Y552"/>
      <c r="Z552"/>
      <c r="AA552"/>
      <c r="AB552"/>
      <c r="AF552"/>
      <c r="AG552"/>
      <c r="AH552"/>
      <c r="AI552"/>
      <c r="AJ552"/>
      <c r="AK552"/>
      <c r="AN552"/>
      <c r="AO552"/>
      <c r="AP552"/>
      <c r="AQ552"/>
      <c r="AR552"/>
      <c r="AS552"/>
      <c r="AV552"/>
      <c r="AW552"/>
      <c r="AX552"/>
      <c r="AY552"/>
      <c r="AZ552"/>
      <c r="BA552"/>
      <c r="BL552"/>
      <c r="BM552"/>
      <c r="BN552"/>
      <c r="BO552"/>
      <c r="BP552"/>
      <c r="BQ552"/>
    </row>
    <row r="553" spans="4:69" x14ac:dyDescent="0.25">
      <c r="D553"/>
      <c r="E553"/>
      <c r="F553"/>
      <c r="G553"/>
      <c r="J553"/>
      <c r="K553"/>
      <c r="L553"/>
      <c r="M553"/>
      <c r="O553"/>
      <c r="P553"/>
      <c r="Q553"/>
      <c r="R553"/>
      <c r="S553"/>
      <c r="T553"/>
      <c r="U553"/>
      <c r="V553"/>
      <c r="Y553"/>
      <c r="Z553"/>
      <c r="AA553"/>
      <c r="AB553"/>
      <c r="AF553"/>
      <c r="AG553"/>
      <c r="AH553"/>
      <c r="AI553"/>
      <c r="AJ553"/>
      <c r="AK553"/>
      <c r="AN553"/>
      <c r="AO553"/>
      <c r="AP553"/>
      <c r="AQ553"/>
      <c r="AR553"/>
      <c r="AS553"/>
      <c r="AV553"/>
      <c r="AW553"/>
      <c r="AX553"/>
      <c r="AY553"/>
      <c r="AZ553"/>
      <c r="BA553"/>
      <c r="BL553"/>
      <c r="BM553"/>
      <c r="BN553"/>
      <c r="BO553"/>
      <c r="BP553"/>
      <c r="BQ553"/>
    </row>
    <row r="554" spans="4:69" x14ac:dyDescent="0.25">
      <c r="D554"/>
      <c r="E554"/>
      <c r="F554"/>
      <c r="G554"/>
      <c r="J554"/>
      <c r="K554"/>
      <c r="L554"/>
      <c r="M554"/>
      <c r="O554"/>
      <c r="P554"/>
      <c r="Q554"/>
      <c r="R554"/>
      <c r="S554"/>
      <c r="T554"/>
      <c r="U554"/>
      <c r="V554"/>
      <c r="Y554"/>
      <c r="Z554"/>
      <c r="AA554"/>
      <c r="AB554"/>
      <c r="AF554"/>
      <c r="AG554"/>
      <c r="AH554"/>
      <c r="AI554"/>
      <c r="AJ554"/>
      <c r="AK554"/>
      <c r="AN554"/>
      <c r="AO554"/>
      <c r="AP554"/>
      <c r="AQ554"/>
      <c r="AR554"/>
      <c r="AS554"/>
      <c r="AV554"/>
      <c r="AW554"/>
      <c r="AX554"/>
      <c r="AY554"/>
      <c r="AZ554"/>
      <c r="BA554"/>
      <c r="BL554"/>
      <c r="BM554"/>
      <c r="BN554"/>
      <c r="BO554"/>
      <c r="BP554"/>
      <c r="BQ554"/>
    </row>
    <row r="555" spans="4:69" x14ac:dyDescent="0.25">
      <c r="D555"/>
      <c r="E555"/>
      <c r="F555"/>
      <c r="G555"/>
      <c r="J555"/>
      <c r="K555"/>
      <c r="L555"/>
      <c r="M555"/>
      <c r="O555"/>
      <c r="P555"/>
      <c r="Q555"/>
      <c r="R555"/>
      <c r="S555"/>
      <c r="T555"/>
      <c r="U555"/>
      <c r="V555"/>
      <c r="Y555"/>
      <c r="Z555"/>
      <c r="AA555"/>
      <c r="AB555"/>
      <c r="AF555"/>
      <c r="AG555"/>
      <c r="AH555"/>
      <c r="AI555"/>
      <c r="AJ555"/>
      <c r="AK555"/>
      <c r="AN555"/>
      <c r="AO555"/>
      <c r="AP555"/>
      <c r="AQ555"/>
      <c r="AR555"/>
      <c r="AS555"/>
      <c r="AV555"/>
      <c r="AW555"/>
      <c r="AX555"/>
      <c r="AY555"/>
      <c r="AZ555"/>
      <c r="BA555"/>
      <c r="BL555"/>
      <c r="BM555"/>
      <c r="BN555"/>
      <c r="BO555"/>
      <c r="BP555"/>
      <c r="BQ555"/>
    </row>
    <row r="556" spans="4:69" x14ac:dyDescent="0.25">
      <c r="D556"/>
      <c r="E556"/>
      <c r="F556"/>
      <c r="G556"/>
      <c r="J556"/>
      <c r="K556"/>
      <c r="L556"/>
      <c r="M556"/>
      <c r="O556"/>
      <c r="P556"/>
      <c r="Q556"/>
      <c r="R556"/>
      <c r="S556"/>
      <c r="T556"/>
      <c r="U556"/>
      <c r="V556"/>
      <c r="Y556"/>
      <c r="Z556"/>
      <c r="AA556"/>
      <c r="AB556"/>
      <c r="AF556"/>
      <c r="AG556"/>
      <c r="AH556"/>
      <c r="AI556"/>
      <c r="AJ556"/>
      <c r="AK556"/>
      <c r="AN556"/>
      <c r="AO556"/>
      <c r="AP556"/>
      <c r="AQ556"/>
      <c r="AR556"/>
      <c r="AS556"/>
      <c r="AV556"/>
      <c r="AW556"/>
      <c r="AX556"/>
      <c r="AY556"/>
      <c r="AZ556"/>
      <c r="BA556"/>
      <c r="BL556"/>
      <c r="BM556"/>
      <c r="BN556"/>
      <c r="BO556"/>
      <c r="BP556"/>
      <c r="BQ556"/>
    </row>
    <row r="557" spans="4:69" x14ac:dyDescent="0.25">
      <c r="D557"/>
      <c r="E557"/>
      <c r="F557"/>
      <c r="G557"/>
      <c r="J557"/>
      <c r="K557"/>
      <c r="L557"/>
      <c r="M557"/>
      <c r="O557"/>
      <c r="P557"/>
      <c r="Q557"/>
      <c r="R557"/>
      <c r="S557"/>
      <c r="T557"/>
      <c r="U557"/>
      <c r="V557"/>
      <c r="Y557"/>
      <c r="Z557"/>
      <c r="AA557"/>
      <c r="AB557"/>
      <c r="AF557"/>
      <c r="AG557"/>
      <c r="AH557"/>
      <c r="AI557"/>
      <c r="AJ557"/>
      <c r="AK557"/>
      <c r="AN557"/>
      <c r="AO557"/>
      <c r="AP557"/>
      <c r="AQ557"/>
      <c r="AR557"/>
      <c r="AS557"/>
      <c r="AV557"/>
      <c r="AW557"/>
      <c r="AX557"/>
      <c r="AY557"/>
      <c r="AZ557"/>
      <c r="BA557"/>
      <c r="BL557"/>
      <c r="BM557"/>
      <c r="BN557"/>
      <c r="BO557"/>
      <c r="BP557"/>
      <c r="BQ557"/>
    </row>
    <row r="558" spans="4:69" x14ac:dyDescent="0.25">
      <c r="D558"/>
      <c r="E558"/>
      <c r="F558"/>
      <c r="G558"/>
      <c r="J558"/>
      <c r="K558"/>
      <c r="L558"/>
      <c r="M558"/>
      <c r="O558"/>
      <c r="P558"/>
      <c r="Q558"/>
      <c r="R558"/>
      <c r="S558"/>
      <c r="T558"/>
      <c r="U558"/>
      <c r="V558"/>
      <c r="Y558"/>
      <c r="Z558"/>
      <c r="AA558"/>
      <c r="AB558"/>
      <c r="AF558"/>
      <c r="AG558"/>
      <c r="AH558"/>
      <c r="AI558"/>
      <c r="AJ558"/>
      <c r="AK558"/>
      <c r="AN558"/>
      <c r="AO558"/>
      <c r="AP558"/>
      <c r="AQ558"/>
      <c r="AR558"/>
      <c r="AS558"/>
      <c r="AV558"/>
      <c r="AW558"/>
      <c r="AX558"/>
      <c r="AY558"/>
      <c r="AZ558"/>
      <c r="BA558"/>
      <c r="BL558"/>
      <c r="BM558"/>
      <c r="BN558"/>
      <c r="BO558"/>
      <c r="BP558"/>
      <c r="BQ558"/>
    </row>
    <row r="559" spans="4:69" x14ac:dyDescent="0.25">
      <c r="D559"/>
      <c r="E559"/>
      <c r="F559"/>
      <c r="G559"/>
      <c r="J559"/>
      <c r="K559"/>
      <c r="L559"/>
      <c r="M559"/>
      <c r="O559"/>
      <c r="P559"/>
      <c r="Q559"/>
      <c r="R559"/>
      <c r="S559"/>
      <c r="T559"/>
      <c r="U559"/>
      <c r="V559"/>
      <c r="Y559"/>
      <c r="Z559"/>
      <c r="AA559"/>
      <c r="AB559"/>
      <c r="AF559"/>
      <c r="AG559"/>
      <c r="AH559"/>
      <c r="AI559"/>
      <c r="AJ559"/>
      <c r="AK559"/>
      <c r="AN559"/>
      <c r="AO559"/>
      <c r="AP559"/>
      <c r="AQ559"/>
      <c r="AR559"/>
      <c r="AS559"/>
      <c r="AV559"/>
      <c r="AW559"/>
      <c r="AX559"/>
      <c r="AY559"/>
      <c r="AZ559"/>
      <c r="BA559"/>
      <c r="BL559"/>
      <c r="BM559"/>
      <c r="BN559"/>
      <c r="BO559"/>
      <c r="BP559"/>
      <c r="BQ559"/>
    </row>
    <row r="560" spans="4:69" x14ac:dyDescent="0.25">
      <c r="D560"/>
      <c r="E560"/>
      <c r="F560"/>
      <c r="G560"/>
      <c r="J560"/>
      <c r="K560"/>
      <c r="L560"/>
      <c r="M560"/>
      <c r="O560"/>
      <c r="P560"/>
      <c r="Q560"/>
      <c r="R560"/>
      <c r="S560"/>
      <c r="T560"/>
      <c r="U560"/>
      <c r="V560"/>
      <c r="Y560"/>
      <c r="Z560"/>
      <c r="AA560"/>
      <c r="AB560"/>
      <c r="AF560"/>
      <c r="AG560"/>
      <c r="AH560"/>
      <c r="AI560"/>
      <c r="AJ560"/>
      <c r="AK560"/>
      <c r="AN560"/>
      <c r="AO560"/>
      <c r="AP560"/>
      <c r="AQ560"/>
      <c r="AR560"/>
      <c r="AS560"/>
      <c r="AV560"/>
      <c r="AW560"/>
      <c r="AX560"/>
      <c r="AY560"/>
      <c r="AZ560"/>
      <c r="BA560"/>
      <c r="BL560"/>
      <c r="BM560"/>
      <c r="BN560"/>
      <c r="BO560"/>
      <c r="BP560"/>
      <c r="BQ560"/>
    </row>
    <row r="561" spans="4:69" x14ac:dyDescent="0.25">
      <c r="D561"/>
      <c r="E561"/>
      <c r="F561"/>
      <c r="G561"/>
      <c r="J561"/>
      <c r="K561"/>
      <c r="L561"/>
      <c r="M561"/>
      <c r="O561"/>
      <c r="P561"/>
      <c r="Q561"/>
      <c r="R561"/>
      <c r="S561"/>
      <c r="T561"/>
      <c r="U561"/>
      <c r="V561"/>
      <c r="Y561"/>
      <c r="Z561"/>
      <c r="AA561"/>
      <c r="AB561"/>
      <c r="AF561"/>
      <c r="AG561"/>
      <c r="AH561"/>
      <c r="AI561"/>
      <c r="AJ561"/>
      <c r="AK561"/>
      <c r="AN561"/>
      <c r="AO561"/>
      <c r="AP561"/>
      <c r="AQ561"/>
      <c r="AR561"/>
      <c r="AS561"/>
      <c r="AV561"/>
      <c r="AW561"/>
      <c r="AX561"/>
      <c r="AY561"/>
      <c r="AZ561"/>
      <c r="BA561"/>
      <c r="BL561"/>
      <c r="BM561"/>
      <c r="BN561"/>
      <c r="BO561"/>
      <c r="BP561"/>
      <c r="BQ561"/>
    </row>
    <row r="562" spans="4:69" x14ac:dyDescent="0.25">
      <c r="D562"/>
      <c r="E562"/>
      <c r="F562"/>
      <c r="G562"/>
      <c r="J562"/>
      <c r="K562"/>
      <c r="L562"/>
      <c r="M562"/>
      <c r="O562"/>
      <c r="P562"/>
      <c r="Q562"/>
      <c r="R562"/>
      <c r="S562"/>
      <c r="T562"/>
      <c r="U562"/>
      <c r="V562"/>
      <c r="Y562"/>
      <c r="Z562"/>
      <c r="AA562"/>
      <c r="AB562"/>
      <c r="AF562"/>
      <c r="AG562"/>
      <c r="AH562"/>
      <c r="AI562"/>
      <c r="AJ562"/>
      <c r="AK562"/>
      <c r="AN562"/>
      <c r="AO562"/>
      <c r="AP562"/>
      <c r="AQ562"/>
      <c r="AR562"/>
      <c r="AS562"/>
      <c r="AV562"/>
      <c r="AW562"/>
      <c r="AX562"/>
      <c r="AY562"/>
      <c r="AZ562"/>
      <c r="BA562"/>
      <c r="BL562"/>
      <c r="BM562"/>
      <c r="BN562"/>
      <c r="BO562"/>
      <c r="BP562"/>
      <c r="BQ562"/>
    </row>
    <row r="563" spans="4:69" x14ac:dyDescent="0.25">
      <c r="D563"/>
      <c r="E563"/>
      <c r="F563"/>
      <c r="G563"/>
      <c r="J563"/>
      <c r="K563"/>
      <c r="L563"/>
      <c r="M563"/>
      <c r="O563"/>
      <c r="P563"/>
      <c r="Q563"/>
      <c r="R563"/>
      <c r="S563"/>
      <c r="T563"/>
      <c r="U563"/>
      <c r="V563"/>
      <c r="Y563"/>
      <c r="Z563"/>
      <c r="AA563"/>
      <c r="AB563"/>
      <c r="AF563"/>
      <c r="AG563"/>
      <c r="AH563"/>
      <c r="AI563"/>
      <c r="AJ563"/>
      <c r="AK563"/>
      <c r="AN563"/>
      <c r="AO563"/>
      <c r="AP563"/>
      <c r="AQ563"/>
      <c r="AR563"/>
      <c r="AS563"/>
      <c r="AV563"/>
      <c r="AW563"/>
      <c r="AX563"/>
      <c r="AY563"/>
      <c r="AZ563"/>
      <c r="BA563"/>
      <c r="BL563"/>
      <c r="BM563"/>
      <c r="BN563"/>
      <c r="BO563"/>
      <c r="BP563"/>
      <c r="BQ563"/>
    </row>
    <row r="564" spans="4:69" x14ac:dyDescent="0.25">
      <c r="D564"/>
      <c r="E564"/>
      <c r="F564"/>
      <c r="G564"/>
      <c r="J564"/>
      <c r="K564"/>
      <c r="L564"/>
      <c r="M564"/>
      <c r="O564"/>
      <c r="P564"/>
      <c r="Q564"/>
      <c r="R564"/>
      <c r="S564"/>
      <c r="T564"/>
      <c r="U564"/>
      <c r="V564"/>
      <c r="Y564"/>
      <c r="Z564"/>
      <c r="AA564"/>
      <c r="AB564"/>
      <c r="AF564"/>
      <c r="AG564"/>
      <c r="AH564"/>
      <c r="AI564"/>
      <c r="AJ564"/>
      <c r="AK564"/>
      <c r="AN564"/>
      <c r="AO564"/>
      <c r="AP564"/>
      <c r="AQ564"/>
      <c r="AR564"/>
      <c r="AS564"/>
      <c r="AV564"/>
      <c r="AW564"/>
      <c r="AX564"/>
      <c r="AY564"/>
      <c r="AZ564"/>
      <c r="BA564"/>
      <c r="BL564"/>
      <c r="BM564"/>
      <c r="BN564"/>
      <c r="BO564"/>
      <c r="BP564"/>
      <c r="BQ564"/>
    </row>
    <row r="565" spans="4:69" x14ac:dyDescent="0.25">
      <c r="D565"/>
      <c r="E565"/>
      <c r="F565"/>
      <c r="G565"/>
      <c r="J565"/>
      <c r="K565"/>
      <c r="L565"/>
      <c r="M565"/>
      <c r="O565"/>
      <c r="P565"/>
      <c r="Q565"/>
      <c r="R565"/>
      <c r="S565"/>
      <c r="T565"/>
      <c r="U565"/>
      <c r="V565"/>
      <c r="Y565"/>
      <c r="Z565"/>
      <c r="AA565"/>
      <c r="AB565"/>
      <c r="AF565"/>
      <c r="AG565"/>
      <c r="AH565"/>
      <c r="AI565"/>
      <c r="AJ565"/>
      <c r="AK565"/>
      <c r="AN565"/>
      <c r="AO565"/>
      <c r="AP565"/>
      <c r="AQ565"/>
      <c r="AR565"/>
      <c r="AS565"/>
      <c r="AV565"/>
      <c r="AW565"/>
      <c r="AX565"/>
      <c r="AY565"/>
      <c r="AZ565"/>
      <c r="BA565"/>
      <c r="BL565"/>
      <c r="BM565"/>
      <c r="BN565"/>
      <c r="BO565"/>
      <c r="BP565"/>
      <c r="BQ565"/>
    </row>
    <row r="566" spans="4:69" x14ac:dyDescent="0.25">
      <c r="D566"/>
      <c r="E566"/>
      <c r="F566"/>
      <c r="G566"/>
      <c r="J566"/>
      <c r="K566"/>
      <c r="L566"/>
      <c r="M566"/>
      <c r="O566"/>
      <c r="P566"/>
      <c r="Q566"/>
      <c r="R566"/>
      <c r="S566"/>
      <c r="T566"/>
      <c r="U566"/>
      <c r="V566"/>
      <c r="Y566"/>
      <c r="Z566"/>
      <c r="AA566"/>
      <c r="AB566"/>
      <c r="AF566"/>
      <c r="AG566"/>
      <c r="AH566"/>
      <c r="AI566"/>
      <c r="AJ566"/>
      <c r="AK566"/>
      <c r="AN566"/>
      <c r="AO566"/>
      <c r="AP566"/>
      <c r="AQ566"/>
      <c r="AR566"/>
      <c r="AS566"/>
      <c r="AV566"/>
      <c r="AW566"/>
      <c r="AX566"/>
      <c r="AY566"/>
      <c r="AZ566"/>
      <c r="BA566"/>
      <c r="BL566"/>
      <c r="BM566"/>
      <c r="BN566"/>
      <c r="BO566"/>
      <c r="BP566"/>
      <c r="BQ566"/>
    </row>
    <row r="567" spans="4:69" x14ac:dyDescent="0.25">
      <c r="D567"/>
      <c r="E567"/>
      <c r="F567"/>
      <c r="G567"/>
      <c r="J567"/>
      <c r="K567"/>
      <c r="L567"/>
      <c r="M567"/>
      <c r="O567"/>
      <c r="P567"/>
      <c r="Q567"/>
      <c r="R567"/>
      <c r="S567"/>
      <c r="T567"/>
      <c r="U567"/>
      <c r="V567"/>
      <c r="Y567"/>
      <c r="Z567"/>
      <c r="AA567"/>
      <c r="AB567"/>
      <c r="AF567"/>
      <c r="AG567"/>
      <c r="AH567"/>
      <c r="AI567"/>
      <c r="AJ567"/>
      <c r="AK567"/>
      <c r="AN567"/>
      <c r="AO567"/>
      <c r="AP567"/>
      <c r="AQ567"/>
      <c r="AR567"/>
      <c r="AS567"/>
      <c r="AV567"/>
      <c r="AW567"/>
      <c r="AX567"/>
      <c r="AY567"/>
      <c r="AZ567"/>
      <c r="BA567"/>
      <c r="BL567"/>
      <c r="BM567"/>
      <c r="BN567"/>
      <c r="BO567"/>
      <c r="BP567"/>
      <c r="BQ567"/>
    </row>
    <row r="568" spans="4:69" x14ac:dyDescent="0.25">
      <c r="D568"/>
      <c r="E568"/>
      <c r="F568"/>
      <c r="G568"/>
      <c r="J568"/>
      <c r="K568"/>
      <c r="L568"/>
      <c r="M568"/>
      <c r="O568"/>
      <c r="P568"/>
      <c r="Q568"/>
      <c r="R568"/>
      <c r="S568"/>
      <c r="T568"/>
      <c r="U568"/>
      <c r="V568"/>
      <c r="Y568"/>
      <c r="Z568"/>
      <c r="AA568"/>
      <c r="AB568"/>
      <c r="AF568"/>
      <c r="AG568"/>
      <c r="AH568"/>
      <c r="AI568"/>
      <c r="AJ568"/>
      <c r="AK568"/>
      <c r="AN568"/>
      <c r="AO568"/>
      <c r="AP568"/>
      <c r="AQ568"/>
      <c r="AR568"/>
      <c r="AS568"/>
      <c r="AV568"/>
      <c r="AW568"/>
      <c r="AX568"/>
      <c r="AY568"/>
      <c r="AZ568"/>
      <c r="BA568"/>
      <c r="BL568"/>
      <c r="BM568"/>
      <c r="BN568"/>
      <c r="BO568"/>
      <c r="BP568"/>
      <c r="BQ568"/>
    </row>
    <row r="569" spans="4:69" x14ac:dyDescent="0.25">
      <c r="D569"/>
      <c r="E569"/>
      <c r="F569"/>
      <c r="G569"/>
      <c r="J569"/>
      <c r="K569"/>
      <c r="L569"/>
      <c r="M569"/>
      <c r="O569"/>
      <c r="P569"/>
      <c r="Q569"/>
      <c r="R569"/>
      <c r="S569"/>
      <c r="T569"/>
      <c r="U569"/>
      <c r="V569"/>
      <c r="Y569"/>
      <c r="Z569"/>
      <c r="AA569"/>
      <c r="AB569"/>
      <c r="AF569"/>
      <c r="AG569"/>
      <c r="AH569"/>
      <c r="AI569"/>
      <c r="AJ569"/>
      <c r="AK569"/>
      <c r="AN569"/>
      <c r="AO569"/>
      <c r="AP569"/>
      <c r="AQ569"/>
      <c r="AR569"/>
      <c r="AS569"/>
      <c r="AV569"/>
      <c r="AW569"/>
      <c r="AX569"/>
      <c r="AY569"/>
      <c r="AZ569"/>
      <c r="BA569"/>
      <c r="BL569"/>
      <c r="BM569"/>
      <c r="BN569"/>
      <c r="BO569"/>
      <c r="BP569"/>
      <c r="BQ569"/>
    </row>
    <row r="570" spans="4:69" x14ac:dyDescent="0.25">
      <c r="D570"/>
      <c r="E570"/>
      <c r="F570"/>
      <c r="G570"/>
      <c r="J570"/>
      <c r="K570"/>
      <c r="L570"/>
      <c r="M570"/>
      <c r="O570"/>
      <c r="P570"/>
      <c r="Q570"/>
      <c r="R570"/>
      <c r="S570"/>
      <c r="T570"/>
      <c r="U570"/>
      <c r="V570"/>
      <c r="Y570"/>
      <c r="Z570"/>
      <c r="AA570"/>
      <c r="AB570"/>
      <c r="AF570"/>
      <c r="AG570"/>
      <c r="AH570"/>
      <c r="AI570"/>
      <c r="AJ570"/>
      <c r="AK570"/>
      <c r="AN570"/>
      <c r="AO570"/>
      <c r="AP570"/>
      <c r="AQ570"/>
      <c r="AR570"/>
      <c r="AS570"/>
      <c r="AV570"/>
      <c r="AW570"/>
      <c r="AX570"/>
      <c r="AY570"/>
      <c r="AZ570"/>
      <c r="BA570"/>
      <c r="BL570"/>
      <c r="BM570"/>
      <c r="BN570"/>
      <c r="BO570"/>
      <c r="BP570"/>
      <c r="BQ570"/>
    </row>
    <row r="571" spans="4:69" x14ac:dyDescent="0.25">
      <c r="D571"/>
      <c r="E571"/>
      <c r="F571"/>
      <c r="G571"/>
      <c r="J571"/>
      <c r="K571"/>
      <c r="L571"/>
      <c r="M571"/>
      <c r="O571"/>
      <c r="P571"/>
      <c r="Q571"/>
      <c r="R571"/>
      <c r="S571"/>
      <c r="T571"/>
      <c r="U571"/>
      <c r="V571"/>
      <c r="Y571"/>
      <c r="Z571"/>
      <c r="AA571"/>
      <c r="AB571"/>
      <c r="AF571"/>
      <c r="AG571"/>
      <c r="AH571"/>
      <c r="AI571"/>
      <c r="AJ571"/>
      <c r="AK571"/>
      <c r="AN571"/>
      <c r="AO571"/>
      <c r="AP571"/>
      <c r="AQ571"/>
      <c r="AR571"/>
      <c r="AS571"/>
      <c r="AV571"/>
      <c r="AW571"/>
      <c r="AX571"/>
      <c r="AY571"/>
      <c r="AZ571"/>
      <c r="BA571"/>
    </row>
    <row r="572" spans="4:69" x14ac:dyDescent="0.25">
      <c r="D572"/>
      <c r="E572"/>
      <c r="F572"/>
      <c r="G572"/>
      <c r="J572"/>
      <c r="K572"/>
      <c r="L572"/>
      <c r="M572"/>
      <c r="O572"/>
      <c r="P572"/>
      <c r="Q572"/>
      <c r="R572"/>
      <c r="S572"/>
      <c r="T572"/>
      <c r="U572"/>
      <c r="V572"/>
      <c r="Y572"/>
      <c r="Z572"/>
      <c r="AA572"/>
      <c r="AB572"/>
      <c r="AF572"/>
      <c r="AG572"/>
      <c r="AH572"/>
      <c r="AI572"/>
      <c r="AJ572"/>
      <c r="AK572"/>
      <c r="AN572"/>
      <c r="AO572"/>
      <c r="AP572"/>
      <c r="AQ572"/>
      <c r="AR572"/>
      <c r="AS572"/>
      <c r="AV572"/>
      <c r="AW572"/>
      <c r="AX572"/>
      <c r="AY572"/>
      <c r="AZ572"/>
      <c r="BA572"/>
    </row>
    <row r="573" spans="4:69" x14ac:dyDescent="0.25">
      <c r="D573"/>
      <c r="E573"/>
      <c r="F573"/>
      <c r="G573"/>
      <c r="J573"/>
      <c r="K573"/>
      <c r="L573"/>
      <c r="M573"/>
      <c r="O573"/>
      <c r="P573"/>
      <c r="Q573"/>
      <c r="R573"/>
      <c r="S573"/>
      <c r="T573"/>
      <c r="U573"/>
      <c r="V573"/>
      <c r="Y573"/>
      <c r="Z573"/>
      <c r="AA573"/>
      <c r="AB573"/>
      <c r="AF573"/>
      <c r="AG573"/>
      <c r="AH573"/>
      <c r="AI573"/>
      <c r="AJ573"/>
      <c r="AK573"/>
      <c r="AN573"/>
      <c r="AO573"/>
      <c r="AP573"/>
      <c r="AQ573"/>
      <c r="AR573"/>
      <c r="AS573"/>
      <c r="AV573"/>
      <c r="AW573"/>
      <c r="AX573"/>
      <c r="AY573"/>
      <c r="AZ573"/>
      <c r="BA573"/>
    </row>
    <row r="574" spans="4:69" x14ac:dyDescent="0.25">
      <c r="D574"/>
      <c r="E574"/>
      <c r="F574"/>
      <c r="G574"/>
      <c r="J574"/>
      <c r="K574"/>
      <c r="L574"/>
      <c r="M574"/>
      <c r="O574"/>
      <c r="P574"/>
      <c r="Q574"/>
      <c r="R574"/>
      <c r="S574"/>
      <c r="T574"/>
      <c r="U574"/>
      <c r="V574"/>
      <c r="Y574"/>
      <c r="Z574"/>
      <c r="AA574"/>
      <c r="AB574"/>
      <c r="AF574"/>
      <c r="AG574"/>
      <c r="AH574"/>
      <c r="AI574"/>
      <c r="AJ574"/>
      <c r="AK574"/>
      <c r="AN574"/>
      <c r="AO574"/>
      <c r="AP574"/>
      <c r="AQ574"/>
      <c r="AR574"/>
      <c r="AS574"/>
      <c r="AV574"/>
      <c r="AW574"/>
      <c r="AX574"/>
      <c r="AY574"/>
      <c r="AZ574"/>
      <c r="BA574"/>
    </row>
    <row r="575" spans="4:69" x14ac:dyDescent="0.25">
      <c r="D575"/>
      <c r="E575"/>
      <c r="F575"/>
      <c r="G575"/>
      <c r="J575"/>
      <c r="K575"/>
      <c r="L575"/>
      <c r="M575"/>
      <c r="O575"/>
      <c r="P575"/>
      <c r="Q575"/>
      <c r="R575"/>
      <c r="S575"/>
      <c r="T575"/>
      <c r="U575"/>
      <c r="V575"/>
      <c r="Y575"/>
      <c r="Z575"/>
      <c r="AA575"/>
      <c r="AB575"/>
      <c r="AF575"/>
      <c r="AG575"/>
      <c r="AH575"/>
      <c r="AI575"/>
      <c r="AJ575"/>
      <c r="AK575"/>
      <c r="AN575"/>
      <c r="AO575"/>
      <c r="AP575"/>
      <c r="AQ575"/>
      <c r="AR575"/>
      <c r="AS575"/>
      <c r="AV575"/>
      <c r="AW575"/>
      <c r="AX575"/>
      <c r="AY575"/>
      <c r="AZ575"/>
      <c r="BA575"/>
    </row>
    <row r="576" spans="4:69" x14ac:dyDescent="0.25">
      <c r="D576"/>
      <c r="E576"/>
      <c r="F576"/>
      <c r="G576"/>
      <c r="J576"/>
      <c r="K576"/>
      <c r="L576"/>
      <c r="M576"/>
      <c r="O576"/>
      <c r="P576"/>
      <c r="Q576"/>
      <c r="R576"/>
      <c r="S576"/>
      <c r="T576"/>
      <c r="U576"/>
      <c r="V576"/>
      <c r="Y576"/>
      <c r="Z576"/>
      <c r="AA576"/>
      <c r="AB576"/>
      <c r="AF576"/>
      <c r="AG576"/>
      <c r="AH576"/>
      <c r="AI576"/>
      <c r="AJ576"/>
      <c r="AK576"/>
      <c r="AN576"/>
      <c r="AO576"/>
      <c r="AP576"/>
      <c r="AQ576"/>
      <c r="AR576"/>
      <c r="AS576"/>
      <c r="AV576"/>
      <c r="AW576"/>
      <c r="AX576"/>
      <c r="AY576"/>
      <c r="AZ576"/>
      <c r="BA576"/>
    </row>
    <row r="577" spans="4:53" x14ac:dyDescent="0.25">
      <c r="D577"/>
      <c r="E577"/>
      <c r="F577"/>
      <c r="G577"/>
      <c r="J577"/>
      <c r="K577"/>
      <c r="L577"/>
      <c r="M577"/>
      <c r="O577"/>
      <c r="P577"/>
      <c r="Q577"/>
      <c r="R577"/>
      <c r="S577"/>
      <c r="T577"/>
      <c r="U577"/>
      <c r="V577"/>
      <c r="Y577"/>
      <c r="Z577"/>
      <c r="AA577"/>
      <c r="AB577"/>
      <c r="AF577"/>
      <c r="AG577"/>
      <c r="AH577"/>
      <c r="AI577"/>
      <c r="AJ577"/>
      <c r="AK577"/>
      <c r="AN577"/>
      <c r="AO577"/>
      <c r="AP577"/>
      <c r="AQ577"/>
      <c r="AR577"/>
      <c r="AS577"/>
      <c r="AV577"/>
      <c r="AW577"/>
      <c r="AX577"/>
      <c r="AY577"/>
      <c r="AZ577"/>
      <c r="BA577"/>
    </row>
    <row r="578" spans="4:53" x14ac:dyDescent="0.25">
      <c r="D578"/>
      <c r="E578"/>
      <c r="F578"/>
      <c r="G578"/>
      <c r="J578"/>
      <c r="K578"/>
      <c r="L578"/>
      <c r="M578"/>
      <c r="O578"/>
      <c r="P578"/>
      <c r="Q578"/>
      <c r="R578"/>
      <c r="S578"/>
      <c r="T578"/>
      <c r="U578"/>
      <c r="V578"/>
      <c r="Y578"/>
      <c r="Z578"/>
      <c r="AA578"/>
      <c r="AB578"/>
      <c r="AF578"/>
      <c r="AG578"/>
      <c r="AH578"/>
      <c r="AI578"/>
      <c r="AJ578"/>
      <c r="AK578"/>
      <c r="AN578"/>
      <c r="AO578"/>
      <c r="AP578"/>
      <c r="AQ578"/>
      <c r="AR578"/>
      <c r="AS578"/>
      <c r="AV578"/>
      <c r="AW578"/>
      <c r="AX578"/>
      <c r="AY578"/>
      <c r="AZ578"/>
      <c r="BA578"/>
    </row>
    <row r="579" spans="4:53" x14ac:dyDescent="0.25">
      <c r="D579"/>
      <c r="E579"/>
      <c r="F579"/>
      <c r="G579"/>
      <c r="J579"/>
      <c r="K579"/>
      <c r="L579"/>
      <c r="M579"/>
      <c r="O579"/>
      <c r="P579"/>
      <c r="Q579"/>
      <c r="R579"/>
      <c r="S579"/>
      <c r="T579"/>
      <c r="U579"/>
      <c r="V579"/>
      <c r="Y579"/>
      <c r="Z579"/>
      <c r="AA579"/>
      <c r="AB579"/>
      <c r="AF579"/>
      <c r="AG579"/>
      <c r="AH579"/>
      <c r="AI579"/>
      <c r="AJ579"/>
      <c r="AK579"/>
      <c r="AN579"/>
      <c r="AO579"/>
      <c r="AP579"/>
      <c r="AQ579"/>
      <c r="AR579"/>
      <c r="AS579"/>
      <c r="AV579"/>
      <c r="AW579"/>
      <c r="AX579"/>
      <c r="AY579"/>
      <c r="AZ579"/>
      <c r="BA579"/>
    </row>
    <row r="580" spans="4:53" x14ac:dyDescent="0.25">
      <c r="D580"/>
      <c r="E580"/>
      <c r="F580"/>
      <c r="G580"/>
      <c r="J580"/>
      <c r="K580"/>
      <c r="L580"/>
      <c r="M580"/>
      <c r="O580"/>
      <c r="P580"/>
      <c r="Q580"/>
      <c r="R580"/>
      <c r="S580"/>
      <c r="T580"/>
      <c r="U580"/>
      <c r="V580"/>
      <c r="Y580"/>
      <c r="Z580"/>
      <c r="AA580"/>
      <c r="AB580"/>
      <c r="AF580"/>
      <c r="AG580"/>
      <c r="AH580"/>
      <c r="AI580"/>
      <c r="AJ580"/>
      <c r="AK580"/>
      <c r="AN580"/>
      <c r="AO580"/>
      <c r="AP580"/>
      <c r="AQ580"/>
      <c r="AR580"/>
      <c r="AS580"/>
      <c r="AV580"/>
      <c r="AW580"/>
      <c r="AX580"/>
      <c r="AY580"/>
      <c r="AZ580"/>
      <c r="BA580"/>
    </row>
    <row r="581" spans="4:53" x14ac:dyDescent="0.25">
      <c r="D581"/>
      <c r="E581"/>
      <c r="F581"/>
      <c r="G581"/>
      <c r="J581"/>
      <c r="K581"/>
      <c r="L581"/>
      <c r="M581"/>
      <c r="O581"/>
      <c r="P581"/>
      <c r="Q581"/>
      <c r="R581"/>
      <c r="S581"/>
      <c r="T581"/>
      <c r="U581"/>
      <c r="V581"/>
      <c r="Y581"/>
      <c r="Z581"/>
      <c r="AA581"/>
      <c r="AB581"/>
      <c r="AF581"/>
      <c r="AG581"/>
      <c r="AH581"/>
      <c r="AI581"/>
      <c r="AJ581"/>
      <c r="AK581"/>
      <c r="AN581"/>
      <c r="AO581"/>
      <c r="AP581"/>
      <c r="AQ581"/>
      <c r="AR581"/>
      <c r="AS581"/>
      <c r="AV581"/>
      <c r="AW581"/>
      <c r="AX581"/>
      <c r="AY581"/>
      <c r="AZ581"/>
      <c r="BA581"/>
    </row>
    <row r="582" spans="4:53" x14ac:dyDescent="0.25">
      <c r="D582"/>
      <c r="E582"/>
      <c r="F582"/>
      <c r="G582"/>
      <c r="J582"/>
      <c r="K582"/>
      <c r="L582"/>
      <c r="M582"/>
      <c r="O582"/>
      <c r="P582"/>
      <c r="Q582"/>
      <c r="R582"/>
      <c r="S582"/>
      <c r="T582"/>
      <c r="U582"/>
      <c r="V582"/>
      <c r="Y582"/>
      <c r="Z582"/>
      <c r="AA582"/>
      <c r="AB582"/>
      <c r="AF582"/>
      <c r="AG582"/>
      <c r="AH582"/>
      <c r="AI582"/>
      <c r="AJ582"/>
      <c r="AK582"/>
      <c r="AN582"/>
      <c r="AO582"/>
      <c r="AP582"/>
      <c r="AQ582"/>
      <c r="AR582"/>
      <c r="AS582"/>
      <c r="AV582"/>
      <c r="AW582"/>
      <c r="AX582"/>
      <c r="AY582"/>
      <c r="AZ582"/>
      <c r="BA582"/>
    </row>
    <row r="583" spans="4:53" x14ac:dyDescent="0.25">
      <c r="D583"/>
      <c r="E583"/>
      <c r="F583"/>
      <c r="G583"/>
      <c r="J583"/>
      <c r="K583"/>
      <c r="L583"/>
      <c r="M583"/>
      <c r="O583"/>
      <c r="P583"/>
      <c r="Q583"/>
      <c r="R583"/>
      <c r="S583"/>
      <c r="T583"/>
      <c r="U583"/>
      <c r="V583"/>
      <c r="Y583"/>
      <c r="Z583"/>
      <c r="AA583"/>
      <c r="AB583"/>
      <c r="AF583"/>
      <c r="AG583"/>
      <c r="AH583"/>
      <c r="AI583"/>
      <c r="AJ583"/>
      <c r="AK583"/>
      <c r="AN583"/>
      <c r="AO583"/>
      <c r="AP583"/>
      <c r="AQ583"/>
      <c r="AR583"/>
      <c r="AS583"/>
      <c r="AV583"/>
      <c r="AW583"/>
      <c r="AX583"/>
      <c r="AY583"/>
      <c r="AZ583"/>
      <c r="BA583"/>
    </row>
    <row r="584" spans="4:53" x14ac:dyDescent="0.25">
      <c r="J584"/>
      <c r="K584"/>
      <c r="L584"/>
      <c r="M584"/>
      <c r="O584"/>
      <c r="P584"/>
      <c r="Q584"/>
      <c r="R584"/>
      <c r="S584"/>
      <c r="T584"/>
      <c r="U584"/>
      <c r="V584"/>
      <c r="Y584"/>
      <c r="Z584"/>
      <c r="AA584"/>
      <c r="AB584"/>
      <c r="AF584"/>
      <c r="AG584"/>
      <c r="AH584"/>
      <c r="AI584"/>
      <c r="AJ584"/>
      <c r="AK584"/>
      <c r="AN584"/>
      <c r="AO584"/>
      <c r="AP584"/>
      <c r="AQ584"/>
      <c r="AR584"/>
      <c r="AS584"/>
      <c r="AV584"/>
      <c r="AW584"/>
      <c r="AX584"/>
      <c r="AY584"/>
      <c r="AZ584"/>
      <c r="BA584"/>
    </row>
    <row r="585" spans="4:53" x14ac:dyDescent="0.25">
      <c r="J585"/>
      <c r="K585"/>
      <c r="L585"/>
      <c r="M585"/>
      <c r="O585"/>
      <c r="P585"/>
      <c r="Q585"/>
      <c r="R585"/>
      <c r="S585"/>
      <c r="T585"/>
      <c r="U585"/>
      <c r="V585"/>
      <c r="Y585"/>
      <c r="Z585"/>
      <c r="AA585"/>
      <c r="AB585"/>
      <c r="AF585"/>
      <c r="AG585"/>
      <c r="AH585"/>
      <c r="AI585"/>
      <c r="AJ585"/>
      <c r="AK585"/>
      <c r="AN585"/>
      <c r="AO585"/>
      <c r="AP585"/>
      <c r="AQ585"/>
      <c r="AR585"/>
      <c r="AS585"/>
      <c r="AV585"/>
      <c r="AW585"/>
      <c r="AX585"/>
      <c r="AY585"/>
      <c r="AZ585"/>
      <c r="BA585"/>
    </row>
    <row r="586" spans="4:53" x14ac:dyDescent="0.25">
      <c r="J586"/>
      <c r="K586"/>
      <c r="L586"/>
      <c r="M586"/>
      <c r="O586"/>
      <c r="P586"/>
      <c r="Q586"/>
      <c r="R586"/>
      <c r="S586"/>
      <c r="T586"/>
      <c r="U586"/>
      <c r="V586"/>
      <c r="Y586"/>
      <c r="Z586"/>
      <c r="AA586"/>
      <c r="AB586"/>
      <c r="AF586"/>
      <c r="AG586"/>
      <c r="AH586"/>
      <c r="AI586"/>
      <c r="AJ586"/>
      <c r="AK586"/>
      <c r="AN586"/>
      <c r="AO586"/>
      <c r="AP586"/>
      <c r="AQ586"/>
      <c r="AR586"/>
      <c r="AS586"/>
      <c r="AV586"/>
      <c r="AW586"/>
      <c r="AX586"/>
      <c r="AY586"/>
      <c r="AZ586"/>
      <c r="BA586"/>
    </row>
    <row r="587" spans="4:53" x14ac:dyDescent="0.25">
      <c r="J587"/>
      <c r="K587"/>
      <c r="L587"/>
      <c r="M587"/>
      <c r="O587"/>
      <c r="P587"/>
      <c r="Q587"/>
      <c r="R587"/>
      <c r="S587"/>
      <c r="T587"/>
      <c r="U587"/>
      <c r="V587"/>
      <c r="Y587"/>
      <c r="Z587"/>
      <c r="AA587"/>
      <c r="AB587"/>
      <c r="AF587"/>
      <c r="AG587"/>
      <c r="AH587"/>
      <c r="AI587"/>
      <c r="AJ587"/>
      <c r="AK587"/>
      <c r="AN587"/>
      <c r="AO587"/>
      <c r="AP587"/>
      <c r="AQ587"/>
      <c r="AR587"/>
      <c r="AS587"/>
      <c r="AV587"/>
      <c r="AW587"/>
      <c r="AX587"/>
      <c r="AY587"/>
      <c r="AZ587"/>
      <c r="BA587"/>
    </row>
    <row r="588" spans="4:53" x14ac:dyDescent="0.25">
      <c r="J588"/>
      <c r="K588"/>
      <c r="L588"/>
      <c r="M588"/>
      <c r="O588"/>
      <c r="P588"/>
      <c r="Q588"/>
      <c r="R588"/>
      <c r="S588"/>
      <c r="T588"/>
      <c r="U588"/>
      <c r="V588"/>
      <c r="Y588"/>
      <c r="Z588"/>
      <c r="AA588"/>
      <c r="AB588"/>
      <c r="AF588"/>
      <c r="AG588"/>
      <c r="AH588"/>
      <c r="AI588"/>
      <c r="AJ588"/>
      <c r="AK588"/>
      <c r="AN588"/>
      <c r="AO588"/>
      <c r="AP588"/>
      <c r="AQ588"/>
      <c r="AR588"/>
      <c r="AS588"/>
      <c r="AV588"/>
      <c r="AW588"/>
      <c r="AX588"/>
      <c r="AY588"/>
      <c r="AZ588"/>
      <c r="BA588"/>
    </row>
    <row r="589" spans="4:53" x14ac:dyDescent="0.25">
      <c r="J589"/>
      <c r="K589"/>
      <c r="L589"/>
      <c r="M589"/>
      <c r="O589"/>
      <c r="P589"/>
      <c r="Q589"/>
      <c r="R589"/>
      <c r="S589"/>
      <c r="T589"/>
      <c r="U589"/>
      <c r="V589"/>
      <c r="Y589"/>
      <c r="Z589"/>
      <c r="AA589"/>
      <c r="AB589"/>
      <c r="AF589"/>
      <c r="AG589"/>
      <c r="AH589"/>
      <c r="AI589"/>
      <c r="AJ589"/>
      <c r="AK589"/>
      <c r="AN589"/>
      <c r="AO589"/>
      <c r="AP589"/>
      <c r="AQ589"/>
      <c r="AR589"/>
      <c r="AS589"/>
      <c r="AV589"/>
      <c r="AW589"/>
      <c r="AX589"/>
      <c r="AY589"/>
      <c r="AZ589"/>
      <c r="BA589"/>
    </row>
    <row r="590" spans="4:53" x14ac:dyDescent="0.25">
      <c r="J590"/>
      <c r="K590"/>
      <c r="L590"/>
      <c r="M590"/>
      <c r="O590"/>
      <c r="P590"/>
      <c r="Q590"/>
      <c r="R590"/>
      <c r="S590"/>
      <c r="T590"/>
      <c r="U590"/>
      <c r="V590"/>
      <c r="Y590"/>
      <c r="Z590"/>
      <c r="AA590"/>
      <c r="AB590"/>
      <c r="AF590"/>
      <c r="AG590"/>
      <c r="AH590"/>
      <c r="AI590"/>
      <c r="AJ590"/>
      <c r="AK590"/>
      <c r="AN590"/>
      <c r="AO590"/>
      <c r="AP590"/>
      <c r="AQ590"/>
      <c r="AR590"/>
      <c r="AS590"/>
      <c r="AV590"/>
      <c r="AW590"/>
      <c r="AX590"/>
      <c r="AY590"/>
      <c r="AZ590"/>
      <c r="BA590"/>
    </row>
    <row r="591" spans="4:53" x14ac:dyDescent="0.25">
      <c r="J591"/>
      <c r="K591"/>
      <c r="L591"/>
      <c r="M591"/>
      <c r="O591"/>
      <c r="P591"/>
      <c r="Q591"/>
      <c r="R591"/>
      <c r="S591"/>
      <c r="T591"/>
      <c r="U591"/>
      <c r="V591"/>
      <c r="Y591"/>
      <c r="Z591"/>
      <c r="AA591"/>
      <c r="AB591"/>
      <c r="AF591"/>
      <c r="AG591"/>
      <c r="AH591"/>
      <c r="AI591"/>
      <c r="AJ591"/>
      <c r="AK591"/>
      <c r="AN591"/>
      <c r="AO591"/>
      <c r="AP591"/>
      <c r="AQ591"/>
      <c r="AR591"/>
      <c r="AS591"/>
      <c r="AV591"/>
      <c r="AW591"/>
      <c r="AX591"/>
      <c r="AY591"/>
      <c r="AZ591"/>
      <c r="BA591"/>
    </row>
    <row r="592" spans="4:53" x14ac:dyDescent="0.25">
      <c r="J592"/>
      <c r="K592"/>
      <c r="L592"/>
      <c r="M592"/>
      <c r="O592"/>
      <c r="P592"/>
      <c r="Q592"/>
      <c r="R592"/>
      <c r="S592"/>
      <c r="T592"/>
      <c r="U592"/>
      <c r="V592"/>
      <c r="Y592"/>
      <c r="Z592"/>
      <c r="AA592"/>
      <c r="AB592"/>
      <c r="AF592"/>
      <c r="AG592"/>
      <c r="AH592"/>
      <c r="AI592"/>
      <c r="AJ592"/>
      <c r="AK592"/>
      <c r="AN592"/>
      <c r="AO592"/>
      <c r="AP592"/>
      <c r="AQ592"/>
      <c r="AR592"/>
      <c r="AS592"/>
      <c r="AV592"/>
      <c r="AW592"/>
      <c r="AX592"/>
      <c r="AY592"/>
      <c r="AZ592"/>
      <c r="BA592"/>
    </row>
    <row r="593" spans="10:53" x14ac:dyDescent="0.25">
      <c r="J593"/>
      <c r="K593"/>
      <c r="L593"/>
      <c r="M593"/>
      <c r="O593"/>
      <c r="P593"/>
      <c r="Q593"/>
      <c r="R593"/>
      <c r="S593"/>
      <c r="T593"/>
      <c r="U593"/>
      <c r="V593"/>
      <c r="Y593"/>
      <c r="Z593"/>
      <c r="AA593"/>
      <c r="AB593"/>
      <c r="AF593"/>
      <c r="AG593"/>
      <c r="AH593"/>
      <c r="AI593"/>
      <c r="AJ593"/>
      <c r="AK593"/>
      <c r="AN593"/>
      <c r="AO593"/>
      <c r="AP593"/>
      <c r="AQ593"/>
      <c r="AR593"/>
      <c r="AS593"/>
      <c r="AV593"/>
      <c r="AW593"/>
      <c r="AX593"/>
      <c r="AY593"/>
      <c r="AZ593"/>
      <c r="BA593"/>
    </row>
    <row r="594" spans="10:53" x14ac:dyDescent="0.25">
      <c r="J594"/>
      <c r="K594"/>
      <c r="L594"/>
      <c r="M594"/>
      <c r="O594"/>
      <c r="P594"/>
      <c r="Q594"/>
      <c r="R594"/>
      <c r="S594"/>
      <c r="T594"/>
      <c r="U594"/>
      <c r="V594"/>
      <c r="Y594"/>
      <c r="Z594"/>
      <c r="AA594"/>
      <c r="AB594"/>
      <c r="AF594"/>
      <c r="AG594"/>
      <c r="AH594"/>
      <c r="AI594"/>
      <c r="AJ594"/>
      <c r="AK594"/>
      <c r="AN594"/>
      <c r="AO594"/>
      <c r="AP594"/>
      <c r="AQ594"/>
      <c r="AR594"/>
      <c r="AS594"/>
      <c r="AV594"/>
      <c r="AW594"/>
      <c r="AX594"/>
      <c r="AY594"/>
      <c r="AZ594"/>
      <c r="BA594"/>
    </row>
    <row r="595" spans="10:53" x14ac:dyDescent="0.25">
      <c r="J595"/>
      <c r="K595"/>
      <c r="L595"/>
      <c r="M595"/>
      <c r="O595"/>
      <c r="P595"/>
      <c r="Q595"/>
      <c r="R595"/>
      <c r="S595"/>
      <c r="T595"/>
      <c r="U595"/>
      <c r="V595"/>
      <c r="Y595"/>
      <c r="Z595"/>
      <c r="AA595"/>
      <c r="AB595"/>
      <c r="AF595"/>
      <c r="AG595"/>
      <c r="AH595"/>
      <c r="AI595"/>
      <c r="AJ595"/>
      <c r="AK595"/>
      <c r="AN595"/>
      <c r="AO595"/>
      <c r="AP595"/>
      <c r="AQ595"/>
      <c r="AR595"/>
      <c r="AS595"/>
      <c r="AV595"/>
      <c r="AW595"/>
      <c r="AX595"/>
      <c r="AY595"/>
      <c r="AZ595"/>
      <c r="BA595"/>
    </row>
    <row r="596" spans="10:53" x14ac:dyDescent="0.25">
      <c r="J596"/>
      <c r="K596"/>
      <c r="L596"/>
      <c r="M596"/>
      <c r="O596"/>
      <c r="P596"/>
      <c r="Q596"/>
      <c r="R596"/>
      <c r="S596"/>
      <c r="T596"/>
      <c r="U596"/>
      <c r="V596"/>
      <c r="Y596"/>
      <c r="Z596"/>
      <c r="AA596"/>
      <c r="AB596"/>
      <c r="AF596"/>
      <c r="AG596"/>
      <c r="AH596"/>
      <c r="AI596"/>
      <c r="AJ596"/>
      <c r="AK596"/>
      <c r="AN596"/>
      <c r="AO596"/>
      <c r="AP596"/>
      <c r="AQ596"/>
      <c r="AR596"/>
      <c r="AS596"/>
      <c r="AV596"/>
      <c r="AW596"/>
      <c r="AX596"/>
      <c r="AY596"/>
      <c r="AZ596"/>
      <c r="BA596"/>
    </row>
    <row r="597" spans="10:53" x14ac:dyDescent="0.25">
      <c r="J597"/>
      <c r="K597"/>
      <c r="L597"/>
      <c r="M597"/>
      <c r="O597"/>
      <c r="P597"/>
      <c r="Q597"/>
      <c r="R597"/>
      <c r="S597"/>
      <c r="T597"/>
      <c r="U597"/>
      <c r="V597"/>
      <c r="Y597"/>
      <c r="Z597"/>
      <c r="AA597"/>
      <c r="AB597"/>
      <c r="AF597"/>
      <c r="AG597"/>
      <c r="AH597"/>
      <c r="AI597"/>
      <c r="AJ597"/>
      <c r="AK597"/>
      <c r="AN597"/>
      <c r="AO597"/>
      <c r="AP597"/>
      <c r="AQ597"/>
      <c r="AR597"/>
      <c r="AS597"/>
      <c r="AV597"/>
      <c r="AW597"/>
      <c r="AX597"/>
      <c r="AY597"/>
      <c r="AZ597"/>
      <c r="BA597"/>
    </row>
    <row r="598" spans="10:53" x14ac:dyDescent="0.25">
      <c r="J598"/>
      <c r="K598"/>
      <c r="L598"/>
      <c r="M598"/>
      <c r="O598"/>
      <c r="P598"/>
      <c r="Q598"/>
      <c r="R598"/>
      <c r="S598"/>
      <c r="T598"/>
      <c r="U598"/>
      <c r="V598"/>
      <c r="Y598"/>
      <c r="Z598"/>
      <c r="AA598"/>
      <c r="AB598"/>
      <c r="AF598"/>
      <c r="AG598"/>
      <c r="AH598"/>
      <c r="AI598"/>
      <c r="AJ598"/>
      <c r="AK598"/>
      <c r="AN598"/>
      <c r="AO598"/>
      <c r="AP598"/>
      <c r="AQ598"/>
      <c r="AR598"/>
      <c r="AS598"/>
      <c r="AV598"/>
      <c r="AW598"/>
      <c r="AX598"/>
      <c r="AY598"/>
      <c r="AZ598"/>
      <c r="BA598"/>
    </row>
    <row r="599" spans="10:53" x14ac:dyDescent="0.25">
      <c r="J599"/>
      <c r="K599"/>
      <c r="L599"/>
      <c r="M599"/>
      <c r="O599"/>
      <c r="P599"/>
      <c r="Q599"/>
      <c r="R599"/>
      <c r="S599"/>
      <c r="T599"/>
      <c r="U599"/>
      <c r="V599"/>
      <c r="Y599"/>
      <c r="Z599"/>
      <c r="AA599"/>
      <c r="AB599"/>
      <c r="AF599"/>
      <c r="AG599"/>
      <c r="AH599"/>
      <c r="AI599"/>
      <c r="AJ599"/>
      <c r="AK599"/>
      <c r="AN599"/>
      <c r="AO599"/>
      <c r="AP599"/>
      <c r="AQ599"/>
      <c r="AR599"/>
      <c r="AS599"/>
      <c r="AV599"/>
      <c r="AW599"/>
      <c r="AX599"/>
      <c r="AY599"/>
      <c r="AZ599"/>
      <c r="BA599"/>
    </row>
    <row r="600" spans="10:53" x14ac:dyDescent="0.25">
      <c r="J600"/>
      <c r="K600"/>
      <c r="L600"/>
      <c r="M600"/>
      <c r="O600"/>
      <c r="P600"/>
      <c r="Q600"/>
      <c r="R600"/>
      <c r="S600"/>
      <c r="T600"/>
      <c r="U600"/>
      <c r="V600"/>
      <c r="Y600"/>
      <c r="Z600"/>
      <c r="AA600"/>
      <c r="AB600"/>
      <c r="AF600"/>
      <c r="AG600"/>
      <c r="AH600"/>
      <c r="AI600"/>
      <c r="AJ600"/>
      <c r="AK600"/>
      <c r="AN600"/>
      <c r="AO600"/>
      <c r="AP600"/>
      <c r="AQ600"/>
      <c r="AR600"/>
      <c r="AS600"/>
      <c r="AV600"/>
      <c r="AW600"/>
      <c r="AX600"/>
      <c r="AY600"/>
      <c r="AZ600"/>
      <c r="BA600"/>
    </row>
    <row r="601" spans="10:53" x14ac:dyDescent="0.25">
      <c r="J601"/>
      <c r="K601"/>
      <c r="L601"/>
      <c r="M601"/>
      <c r="O601"/>
      <c r="P601"/>
      <c r="Q601"/>
      <c r="R601"/>
      <c r="S601"/>
      <c r="T601"/>
      <c r="U601"/>
      <c r="V601"/>
      <c r="Y601"/>
      <c r="Z601"/>
      <c r="AA601"/>
      <c r="AB601"/>
      <c r="AF601"/>
      <c r="AG601"/>
      <c r="AH601"/>
      <c r="AI601"/>
      <c r="AJ601"/>
      <c r="AK601"/>
      <c r="AN601"/>
      <c r="AO601"/>
      <c r="AP601"/>
      <c r="AQ601"/>
      <c r="AR601"/>
      <c r="AS601"/>
      <c r="AV601"/>
      <c r="AW601"/>
      <c r="AX601"/>
      <c r="AY601"/>
      <c r="AZ601"/>
      <c r="BA601"/>
    </row>
    <row r="602" spans="10:53" x14ac:dyDescent="0.25">
      <c r="J602"/>
      <c r="K602"/>
      <c r="L602"/>
      <c r="M602"/>
      <c r="O602"/>
      <c r="P602"/>
      <c r="Q602"/>
      <c r="R602"/>
      <c r="S602"/>
      <c r="T602"/>
      <c r="U602"/>
      <c r="V602"/>
      <c r="Y602"/>
      <c r="Z602"/>
      <c r="AA602"/>
      <c r="AB602"/>
      <c r="AF602"/>
      <c r="AG602"/>
      <c r="AH602"/>
      <c r="AI602"/>
      <c r="AJ602"/>
      <c r="AK602"/>
      <c r="AN602"/>
      <c r="AO602"/>
      <c r="AP602"/>
      <c r="AQ602"/>
      <c r="AR602"/>
      <c r="AS602"/>
      <c r="AV602"/>
      <c r="AW602"/>
      <c r="AX602"/>
      <c r="AY602"/>
      <c r="AZ602"/>
      <c r="BA602"/>
    </row>
    <row r="603" spans="10:53" x14ac:dyDescent="0.25">
      <c r="J603"/>
      <c r="K603"/>
      <c r="L603"/>
      <c r="M603"/>
      <c r="O603"/>
      <c r="P603"/>
      <c r="Q603"/>
      <c r="R603"/>
      <c r="S603"/>
      <c r="T603"/>
      <c r="U603"/>
      <c r="V603"/>
      <c r="Y603"/>
      <c r="Z603"/>
      <c r="AA603"/>
      <c r="AB603"/>
      <c r="AF603"/>
      <c r="AG603"/>
      <c r="AH603"/>
      <c r="AI603"/>
      <c r="AJ603"/>
      <c r="AK603"/>
      <c r="AN603"/>
      <c r="AO603"/>
      <c r="AP603"/>
      <c r="AQ603"/>
      <c r="AR603"/>
      <c r="AS603"/>
      <c r="AV603"/>
      <c r="AW603"/>
      <c r="AX603"/>
      <c r="AY603"/>
      <c r="AZ603"/>
      <c r="BA603"/>
    </row>
    <row r="604" spans="10:53" x14ac:dyDescent="0.25">
      <c r="J604"/>
      <c r="K604"/>
      <c r="L604"/>
      <c r="M604"/>
      <c r="O604"/>
      <c r="P604"/>
      <c r="Q604"/>
      <c r="R604"/>
      <c r="S604"/>
      <c r="T604"/>
      <c r="U604"/>
      <c r="V604"/>
      <c r="Y604"/>
      <c r="Z604"/>
      <c r="AA604"/>
      <c r="AB604"/>
      <c r="AF604"/>
      <c r="AG604"/>
      <c r="AH604"/>
      <c r="AI604"/>
      <c r="AJ604"/>
      <c r="AK604"/>
      <c r="AN604"/>
      <c r="AO604"/>
      <c r="AP604"/>
      <c r="AQ604"/>
      <c r="AR604"/>
      <c r="AS604"/>
      <c r="AV604"/>
      <c r="AW604"/>
      <c r="AX604"/>
      <c r="AY604"/>
      <c r="AZ604"/>
      <c r="BA604"/>
    </row>
    <row r="605" spans="10:53" x14ac:dyDescent="0.25">
      <c r="J605"/>
      <c r="K605"/>
      <c r="L605"/>
      <c r="M605"/>
      <c r="O605"/>
      <c r="P605"/>
      <c r="Q605"/>
      <c r="R605"/>
      <c r="S605"/>
      <c r="T605"/>
      <c r="U605"/>
      <c r="V605"/>
      <c r="Y605"/>
      <c r="Z605"/>
      <c r="AA605"/>
      <c r="AB605"/>
      <c r="AF605"/>
      <c r="AG605"/>
      <c r="AH605"/>
      <c r="AI605"/>
      <c r="AJ605"/>
      <c r="AK605"/>
      <c r="AN605"/>
      <c r="AO605"/>
      <c r="AP605"/>
      <c r="AQ605"/>
      <c r="AR605"/>
      <c r="AS605"/>
      <c r="AV605"/>
      <c r="AW605"/>
      <c r="AX605"/>
      <c r="AY605"/>
      <c r="AZ605"/>
      <c r="BA605"/>
    </row>
    <row r="606" spans="10:53" x14ac:dyDescent="0.25">
      <c r="J606"/>
      <c r="K606"/>
      <c r="L606"/>
      <c r="M606"/>
      <c r="O606"/>
      <c r="P606"/>
      <c r="Q606"/>
      <c r="R606"/>
      <c r="S606"/>
      <c r="T606"/>
      <c r="U606"/>
      <c r="V606"/>
      <c r="Y606"/>
      <c r="Z606"/>
      <c r="AA606"/>
      <c r="AB606"/>
      <c r="AF606"/>
      <c r="AG606"/>
      <c r="AH606"/>
      <c r="AI606"/>
      <c r="AJ606"/>
      <c r="AK606"/>
      <c r="AN606"/>
      <c r="AO606"/>
      <c r="AP606"/>
      <c r="AQ606"/>
      <c r="AR606"/>
      <c r="AS606"/>
      <c r="AV606"/>
      <c r="AW606"/>
      <c r="AX606"/>
      <c r="AY606"/>
      <c r="AZ606"/>
      <c r="BA606"/>
    </row>
    <row r="607" spans="10:53" x14ac:dyDescent="0.25">
      <c r="J607"/>
      <c r="K607"/>
      <c r="L607"/>
      <c r="M607"/>
      <c r="O607"/>
      <c r="P607"/>
      <c r="Q607"/>
      <c r="R607"/>
      <c r="S607"/>
      <c r="T607"/>
      <c r="U607"/>
      <c r="V607"/>
      <c r="Y607"/>
      <c r="Z607"/>
      <c r="AA607"/>
      <c r="AB607"/>
      <c r="AF607"/>
      <c r="AG607"/>
      <c r="AH607"/>
      <c r="AI607"/>
      <c r="AJ607"/>
      <c r="AK607"/>
      <c r="AN607"/>
      <c r="AO607"/>
      <c r="AP607"/>
      <c r="AQ607"/>
      <c r="AR607"/>
      <c r="AS607"/>
      <c r="AV607"/>
      <c r="AW607"/>
      <c r="AX607"/>
      <c r="AY607"/>
      <c r="AZ607"/>
      <c r="BA607"/>
    </row>
    <row r="608" spans="10:53" x14ac:dyDescent="0.25">
      <c r="J608"/>
      <c r="K608"/>
      <c r="L608"/>
      <c r="M608"/>
      <c r="O608"/>
      <c r="P608"/>
      <c r="Q608"/>
      <c r="R608"/>
      <c r="S608"/>
      <c r="T608"/>
      <c r="U608"/>
      <c r="V608"/>
      <c r="Y608"/>
      <c r="Z608"/>
      <c r="AA608"/>
      <c r="AB608"/>
      <c r="AF608"/>
      <c r="AG608"/>
      <c r="AH608"/>
      <c r="AI608"/>
      <c r="AJ608"/>
      <c r="AK608"/>
      <c r="AN608"/>
      <c r="AO608"/>
      <c r="AP608"/>
      <c r="AQ608"/>
      <c r="AR608"/>
      <c r="AS608"/>
      <c r="AV608"/>
      <c r="AW608"/>
      <c r="AX608"/>
      <c r="AY608"/>
      <c r="AZ608"/>
      <c r="BA608"/>
    </row>
    <row r="609" spans="10:53" x14ac:dyDescent="0.25">
      <c r="J609"/>
      <c r="K609"/>
      <c r="L609"/>
      <c r="M609"/>
      <c r="O609"/>
      <c r="P609"/>
      <c r="Q609"/>
      <c r="R609"/>
      <c r="S609"/>
      <c r="T609"/>
      <c r="U609"/>
      <c r="V609"/>
      <c r="Y609"/>
      <c r="Z609"/>
      <c r="AA609"/>
      <c r="AB609"/>
      <c r="AF609"/>
      <c r="AG609"/>
      <c r="AH609"/>
      <c r="AI609"/>
      <c r="AJ609"/>
      <c r="AK609"/>
      <c r="AN609"/>
      <c r="AO609"/>
      <c r="AP609"/>
      <c r="AQ609"/>
      <c r="AR609"/>
      <c r="AS609"/>
      <c r="AV609"/>
      <c r="AW609"/>
      <c r="AX609"/>
      <c r="AY609"/>
      <c r="AZ609"/>
      <c r="BA609"/>
    </row>
    <row r="610" spans="10:53" x14ac:dyDescent="0.25">
      <c r="J610"/>
      <c r="K610"/>
      <c r="L610"/>
      <c r="M610"/>
      <c r="O610"/>
      <c r="P610"/>
      <c r="Q610"/>
      <c r="R610"/>
      <c r="S610"/>
      <c r="T610"/>
      <c r="U610"/>
      <c r="V610"/>
      <c r="Y610"/>
      <c r="Z610"/>
      <c r="AA610"/>
      <c r="AB610"/>
      <c r="AF610"/>
      <c r="AG610"/>
      <c r="AH610"/>
      <c r="AI610"/>
      <c r="AJ610"/>
      <c r="AK610"/>
      <c r="AN610"/>
      <c r="AO610"/>
      <c r="AP610"/>
      <c r="AQ610"/>
      <c r="AR610"/>
      <c r="AS610"/>
      <c r="AV610"/>
      <c r="AW610"/>
      <c r="AX610"/>
      <c r="AY610"/>
      <c r="AZ610"/>
      <c r="BA610"/>
    </row>
    <row r="611" spans="10:53" x14ac:dyDescent="0.25">
      <c r="J611"/>
      <c r="K611"/>
      <c r="L611"/>
      <c r="M611"/>
      <c r="O611"/>
      <c r="P611"/>
      <c r="Q611"/>
      <c r="R611"/>
      <c r="S611"/>
      <c r="T611"/>
      <c r="U611"/>
      <c r="V611"/>
      <c r="Y611"/>
      <c r="Z611"/>
      <c r="AA611"/>
      <c r="AB611"/>
      <c r="AF611"/>
      <c r="AG611"/>
      <c r="AH611"/>
      <c r="AI611"/>
      <c r="AJ611"/>
      <c r="AK611"/>
      <c r="AN611"/>
      <c r="AO611"/>
      <c r="AP611"/>
      <c r="AQ611"/>
      <c r="AR611"/>
      <c r="AS611"/>
      <c r="AV611"/>
      <c r="AW611"/>
      <c r="AX611"/>
      <c r="AY611"/>
      <c r="AZ611"/>
      <c r="BA611"/>
    </row>
    <row r="612" spans="10:53" x14ac:dyDescent="0.25">
      <c r="J612"/>
      <c r="K612"/>
      <c r="L612"/>
      <c r="M612"/>
      <c r="O612"/>
      <c r="P612"/>
      <c r="Q612"/>
      <c r="R612"/>
      <c r="S612"/>
      <c r="T612"/>
      <c r="U612"/>
      <c r="V612"/>
      <c r="Y612"/>
      <c r="Z612"/>
      <c r="AA612"/>
      <c r="AB612"/>
      <c r="AF612"/>
      <c r="AG612"/>
      <c r="AH612"/>
      <c r="AI612"/>
      <c r="AJ612"/>
      <c r="AK612"/>
      <c r="AN612"/>
      <c r="AO612"/>
      <c r="AP612"/>
      <c r="AQ612"/>
      <c r="AR612"/>
      <c r="AS612"/>
      <c r="AV612"/>
      <c r="AW612"/>
      <c r="AX612"/>
      <c r="AY612"/>
      <c r="AZ612"/>
      <c r="BA612"/>
    </row>
    <row r="613" spans="10:53" x14ac:dyDescent="0.25">
      <c r="J613"/>
      <c r="K613"/>
      <c r="L613"/>
      <c r="M613"/>
      <c r="O613"/>
      <c r="P613"/>
      <c r="Q613"/>
      <c r="R613"/>
      <c r="S613"/>
      <c r="T613"/>
      <c r="U613"/>
      <c r="V613"/>
      <c r="Y613"/>
      <c r="Z613"/>
      <c r="AA613"/>
      <c r="AB613"/>
      <c r="AF613"/>
      <c r="AG613"/>
      <c r="AH613"/>
      <c r="AI613"/>
      <c r="AJ613"/>
      <c r="AK613"/>
      <c r="AN613"/>
      <c r="AO613"/>
      <c r="AP613"/>
      <c r="AQ613"/>
      <c r="AR613"/>
      <c r="AS613"/>
      <c r="AV613"/>
      <c r="AW613"/>
      <c r="AX613"/>
      <c r="AY613"/>
      <c r="AZ613"/>
      <c r="BA613"/>
    </row>
    <row r="614" spans="10:53" x14ac:dyDescent="0.25">
      <c r="J614"/>
      <c r="K614"/>
      <c r="L614"/>
      <c r="M614"/>
      <c r="O614"/>
      <c r="P614"/>
      <c r="Q614"/>
      <c r="R614"/>
      <c r="S614"/>
      <c r="T614"/>
      <c r="U614"/>
      <c r="V614"/>
      <c r="Y614"/>
      <c r="Z614"/>
      <c r="AA614"/>
      <c r="AB614"/>
      <c r="AF614"/>
      <c r="AG614"/>
      <c r="AH614"/>
      <c r="AI614"/>
      <c r="AJ614"/>
      <c r="AK614"/>
      <c r="AN614"/>
      <c r="AO614"/>
      <c r="AP614"/>
      <c r="AQ614"/>
      <c r="AR614"/>
      <c r="AS614"/>
      <c r="AV614"/>
      <c r="AW614"/>
      <c r="AX614"/>
      <c r="AY614"/>
      <c r="AZ614"/>
      <c r="BA614"/>
    </row>
    <row r="615" spans="10:53" x14ac:dyDescent="0.25">
      <c r="J615"/>
      <c r="K615"/>
      <c r="L615"/>
      <c r="M615"/>
      <c r="O615"/>
      <c r="P615"/>
      <c r="Q615"/>
      <c r="R615"/>
      <c r="S615"/>
      <c r="T615"/>
      <c r="U615"/>
      <c r="V615"/>
      <c r="Y615"/>
      <c r="Z615"/>
      <c r="AA615"/>
      <c r="AB615"/>
      <c r="AF615"/>
      <c r="AG615"/>
      <c r="AH615"/>
      <c r="AI615"/>
      <c r="AJ615"/>
      <c r="AK615"/>
      <c r="AN615"/>
      <c r="AO615"/>
      <c r="AP615"/>
      <c r="AQ615"/>
      <c r="AR615"/>
      <c r="AS615"/>
      <c r="AV615"/>
      <c r="AW615"/>
      <c r="AX615"/>
      <c r="AY615"/>
      <c r="AZ615"/>
      <c r="BA615"/>
    </row>
    <row r="616" spans="10:53" x14ac:dyDescent="0.25">
      <c r="J616"/>
      <c r="K616"/>
      <c r="L616"/>
      <c r="M616"/>
      <c r="O616"/>
      <c r="P616"/>
      <c r="Q616"/>
      <c r="R616"/>
      <c r="S616"/>
      <c r="T616"/>
      <c r="U616"/>
      <c r="V616"/>
      <c r="Y616"/>
      <c r="Z616"/>
      <c r="AA616"/>
      <c r="AB616"/>
      <c r="AF616"/>
      <c r="AG616"/>
      <c r="AH616"/>
      <c r="AI616"/>
      <c r="AJ616"/>
      <c r="AK616"/>
      <c r="AN616"/>
      <c r="AO616"/>
      <c r="AP616"/>
      <c r="AQ616"/>
      <c r="AR616"/>
      <c r="AS616"/>
      <c r="AV616"/>
      <c r="AW616"/>
      <c r="AX616"/>
      <c r="AY616"/>
      <c r="AZ616"/>
      <c r="BA616"/>
    </row>
    <row r="617" spans="10:53" x14ac:dyDescent="0.25">
      <c r="J617"/>
      <c r="K617"/>
      <c r="L617"/>
      <c r="M617"/>
      <c r="O617"/>
      <c r="P617"/>
      <c r="Q617"/>
      <c r="R617"/>
      <c r="S617"/>
      <c r="T617"/>
      <c r="U617"/>
      <c r="V617"/>
      <c r="Y617"/>
      <c r="Z617"/>
      <c r="AA617"/>
      <c r="AB617"/>
      <c r="AF617"/>
      <c r="AG617"/>
      <c r="AH617"/>
      <c r="AI617"/>
      <c r="AJ617"/>
      <c r="AK617"/>
      <c r="AN617"/>
      <c r="AO617"/>
      <c r="AP617"/>
      <c r="AQ617"/>
      <c r="AR617"/>
      <c r="AS617"/>
      <c r="AV617"/>
      <c r="AW617"/>
      <c r="AX617"/>
      <c r="AY617"/>
      <c r="AZ617"/>
      <c r="BA617"/>
    </row>
    <row r="618" spans="10:53" x14ac:dyDescent="0.25">
      <c r="J618"/>
      <c r="K618"/>
      <c r="L618"/>
      <c r="M618"/>
      <c r="O618"/>
      <c r="P618"/>
      <c r="Q618"/>
      <c r="R618"/>
      <c r="S618"/>
      <c r="T618"/>
      <c r="U618"/>
      <c r="V618"/>
      <c r="Y618"/>
      <c r="Z618"/>
      <c r="AA618"/>
      <c r="AB618"/>
      <c r="AF618"/>
      <c r="AG618"/>
      <c r="AH618"/>
      <c r="AI618"/>
      <c r="AJ618"/>
      <c r="AK618"/>
      <c r="AN618"/>
      <c r="AO618"/>
      <c r="AP618"/>
      <c r="AQ618"/>
      <c r="AR618"/>
      <c r="AS618"/>
      <c r="AV618"/>
      <c r="AW618"/>
      <c r="AX618"/>
      <c r="AY618"/>
      <c r="AZ618"/>
      <c r="BA618"/>
    </row>
    <row r="619" spans="10:53" x14ac:dyDescent="0.25">
      <c r="J619"/>
      <c r="K619"/>
      <c r="L619"/>
      <c r="M619"/>
      <c r="O619"/>
      <c r="P619"/>
      <c r="Q619"/>
      <c r="R619"/>
      <c r="S619"/>
      <c r="T619"/>
      <c r="U619"/>
      <c r="V619"/>
      <c r="Y619"/>
      <c r="Z619"/>
      <c r="AA619"/>
      <c r="AB619"/>
      <c r="AF619"/>
      <c r="AG619"/>
      <c r="AH619"/>
      <c r="AI619"/>
      <c r="AJ619"/>
      <c r="AK619"/>
      <c r="AN619"/>
      <c r="AO619"/>
      <c r="AP619"/>
      <c r="AQ619"/>
      <c r="AR619"/>
      <c r="AS619"/>
      <c r="AV619"/>
      <c r="AW619"/>
      <c r="AX619"/>
      <c r="AY619"/>
      <c r="AZ619"/>
      <c r="BA619"/>
    </row>
    <row r="620" spans="10:53" x14ac:dyDescent="0.25">
      <c r="J620"/>
      <c r="K620"/>
      <c r="L620"/>
      <c r="M620"/>
      <c r="O620"/>
      <c r="P620"/>
      <c r="Q620"/>
      <c r="R620"/>
      <c r="S620"/>
      <c r="T620"/>
      <c r="U620"/>
      <c r="V620"/>
      <c r="Y620"/>
      <c r="Z620"/>
      <c r="AA620"/>
      <c r="AB620"/>
      <c r="AF620"/>
      <c r="AG620"/>
      <c r="AH620"/>
      <c r="AI620"/>
      <c r="AJ620"/>
      <c r="AK620"/>
      <c r="AN620"/>
      <c r="AO620"/>
      <c r="AP620"/>
      <c r="AQ620"/>
      <c r="AR620"/>
      <c r="AS620"/>
      <c r="AV620"/>
      <c r="AW620"/>
      <c r="AX620"/>
      <c r="AY620"/>
      <c r="AZ620"/>
      <c r="BA620"/>
    </row>
    <row r="621" spans="10:53" x14ac:dyDescent="0.25">
      <c r="J621"/>
      <c r="K621"/>
      <c r="L621"/>
      <c r="M621"/>
      <c r="O621"/>
      <c r="P621"/>
      <c r="Q621"/>
      <c r="R621"/>
      <c r="S621"/>
      <c r="T621"/>
      <c r="U621"/>
      <c r="V621"/>
      <c r="Y621"/>
      <c r="Z621"/>
      <c r="AA621"/>
      <c r="AB621"/>
      <c r="AF621"/>
      <c r="AG621"/>
      <c r="AH621"/>
      <c r="AI621"/>
      <c r="AJ621"/>
      <c r="AK621"/>
      <c r="AN621"/>
      <c r="AO621"/>
      <c r="AP621"/>
      <c r="AQ621"/>
      <c r="AR621"/>
      <c r="AS621"/>
      <c r="AV621"/>
      <c r="AW621"/>
      <c r="AX621"/>
      <c r="AY621"/>
      <c r="AZ621"/>
      <c r="BA621"/>
    </row>
    <row r="622" spans="10:53" x14ac:dyDescent="0.25">
      <c r="J622"/>
      <c r="K622"/>
      <c r="L622"/>
      <c r="M622"/>
      <c r="O622"/>
      <c r="P622"/>
      <c r="Q622"/>
      <c r="R622"/>
      <c r="S622"/>
      <c r="T622"/>
      <c r="U622"/>
      <c r="V622"/>
      <c r="Y622"/>
      <c r="Z622"/>
      <c r="AA622"/>
      <c r="AB622"/>
      <c r="AF622"/>
      <c r="AG622"/>
      <c r="AH622"/>
      <c r="AI622"/>
      <c r="AJ622"/>
      <c r="AK622"/>
      <c r="AN622"/>
      <c r="AO622"/>
      <c r="AP622"/>
      <c r="AQ622"/>
      <c r="AR622"/>
      <c r="AS622"/>
      <c r="AV622"/>
      <c r="AW622"/>
      <c r="AX622"/>
      <c r="AY622"/>
      <c r="AZ622"/>
      <c r="BA622"/>
    </row>
    <row r="623" spans="10:53" x14ac:dyDescent="0.25">
      <c r="J623"/>
      <c r="K623"/>
      <c r="L623"/>
      <c r="M623"/>
      <c r="O623"/>
      <c r="P623"/>
      <c r="Q623"/>
      <c r="R623"/>
      <c r="S623"/>
      <c r="T623"/>
      <c r="U623"/>
      <c r="V623"/>
      <c r="Y623"/>
      <c r="Z623"/>
      <c r="AA623"/>
      <c r="AB623"/>
      <c r="AF623"/>
      <c r="AG623"/>
      <c r="AH623"/>
      <c r="AI623"/>
      <c r="AJ623"/>
      <c r="AK623"/>
      <c r="AN623"/>
      <c r="AO623"/>
      <c r="AP623"/>
      <c r="AQ623"/>
      <c r="AR623"/>
      <c r="AS623"/>
      <c r="AV623"/>
      <c r="AW623"/>
      <c r="AX623"/>
      <c r="AY623"/>
      <c r="AZ623"/>
      <c r="BA623"/>
    </row>
    <row r="624" spans="10:53" x14ac:dyDescent="0.25">
      <c r="J624"/>
      <c r="K624"/>
      <c r="L624"/>
      <c r="M624"/>
      <c r="O624"/>
      <c r="P624"/>
      <c r="Q624"/>
      <c r="R624"/>
      <c r="S624"/>
      <c r="T624"/>
      <c r="U624"/>
      <c r="V624"/>
      <c r="Y624"/>
      <c r="Z624"/>
      <c r="AA624"/>
      <c r="AB624"/>
      <c r="AF624"/>
      <c r="AG624"/>
      <c r="AH624"/>
      <c r="AI624"/>
      <c r="AJ624"/>
      <c r="AK624"/>
      <c r="AN624"/>
      <c r="AO624"/>
      <c r="AP624"/>
      <c r="AQ624"/>
      <c r="AR624"/>
      <c r="AS624"/>
      <c r="AV624"/>
      <c r="AW624"/>
      <c r="AX624"/>
      <c r="AY624"/>
      <c r="AZ624"/>
      <c r="BA624"/>
    </row>
    <row r="625" spans="10:53" x14ac:dyDescent="0.25">
      <c r="J625"/>
      <c r="K625"/>
      <c r="L625"/>
      <c r="M625"/>
      <c r="O625"/>
      <c r="P625"/>
      <c r="Q625"/>
      <c r="R625"/>
      <c r="S625"/>
      <c r="T625"/>
      <c r="U625"/>
      <c r="V625"/>
      <c r="Y625"/>
      <c r="Z625"/>
      <c r="AA625"/>
      <c r="AB625"/>
      <c r="AF625"/>
      <c r="AG625"/>
      <c r="AH625"/>
      <c r="AI625"/>
      <c r="AJ625"/>
      <c r="AK625"/>
      <c r="AN625"/>
      <c r="AO625"/>
      <c r="AP625"/>
      <c r="AQ625"/>
      <c r="AR625"/>
      <c r="AS625"/>
      <c r="AV625"/>
      <c r="AW625"/>
      <c r="AX625"/>
      <c r="AY625"/>
      <c r="AZ625"/>
      <c r="BA625"/>
    </row>
    <row r="626" spans="10:53" x14ac:dyDescent="0.25">
      <c r="J626"/>
      <c r="K626"/>
      <c r="L626"/>
      <c r="M626"/>
      <c r="O626"/>
      <c r="P626"/>
      <c r="Q626"/>
      <c r="R626"/>
      <c r="S626"/>
      <c r="T626"/>
      <c r="U626"/>
      <c r="V626"/>
      <c r="Y626"/>
      <c r="Z626"/>
      <c r="AA626"/>
      <c r="AB626"/>
      <c r="AF626"/>
      <c r="AG626"/>
      <c r="AH626"/>
      <c r="AI626"/>
      <c r="AJ626"/>
      <c r="AK626"/>
      <c r="AN626"/>
      <c r="AO626"/>
      <c r="AP626"/>
      <c r="AQ626"/>
      <c r="AR626"/>
      <c r="AS626"/>
      <c r="AV626"/>
      <c r="AW626"/>
      <c r="AX626"/>
      <c r="AY626"/>
      <c r="AZ626"/>
      <c r="BA626"/>
    </row>
    <row r="627" spans="10:53" x14ac:dyDescent="0.25">
      <c r="J627"/>
      <c r="K627"/>
      <c r="L627"/>
      <c r="M627"/>
      <c r="O627"/>
      <c r="P627"/>
      <c r="Q627"/>
      <c r="R627"/>
      <c r="S627"/>
      <c r="T627"/>
      <c r="U627"/>
      <c r="V627"/>
      <c r="Y627"/>
      <c r="Z627"/>
      <c r="AA627"/>
      <c r="AB627"/>
      <c r="AF627"/>
      <c r="AG627"/>
      <c r="AH627"/>
      <c r="AI627"/>
      <c r="AJ627"/>
      <c r="AK627"/>
      <c r="AN627"/>
      <c r="AO627"/>
      <c r="AP627"/>
      <c r="AQ627"/>
      <c r="AR627"/>
      <c r="AS627"/>
      <c r="AV627"/>
      <c r="AW627"/>
      <c r="AX627"/>
      <c r="AY627"/>
      <c r="AZ627"/>
      <c r="BA627"/>
    </row>
    <row r="628" spans="10:53" x14ac:dyDescent="0.25">
      <c r="J628"/>
      <c r="K628"/>
      <c r="L628"/>
      <c r="M628"/>
      <c r="O628"/>
      <c r="P628"/>
      <c r="Q628"/>
      <c r="R628"/>
      <c r="S628"/>
      <c r="T628"/>
      <c r="U628"/>
      <c r="V628"/>
      <c r="Y628"/>
      <c r="Z628"/>
      <c r="AA628"/>
      <c r="AB628"/>
      <c r="AF628"/>
      <c r="AG628"/>
      <c r="AH628"/>
      <c r="AI628"/>
      <c r="AJ628"/>
      <c r="AK628"/>
      <c r="AN628"/>
      <c r="AO628"/>
      <c r="AP628"/>
      <c r="AQ628"/>
      <c r="AR628"/>
      <c r="AS628"/>
      <c r="AV628"/>
      <c r="AW628"/>
      <c r="AX628"/>
      <c r="AY628"/>
      <c r="AZ628"/>
      <c r="BA628"/>
    </row>
    <row r="629" spans="10:53" x14ac:dyDescent="0.25">
      <c r="J629"/>
      <c r="K629"/>
      <c r="L629"/>
      <c r="M629"/>
      <c r="O629"/>
      <c r="P629"/>
      <c r="Q629"/>
      <c r="R629"/>
      <c r="S629"/>
      <c r="T629"/>
      <c r="U629"/>
      <c r="V629"/>
      <c r="Y629"/>
      <c r="Z629"/>
      <c r="AA629"/>
      <c r="AB629"/>
      <c r="AF629"/>
      <c r="AG629"/>
      <c r="AH629"/>
      <c r="AI629"/>
      <c r="AJ629"/>
      <c r="AK629"/>
      <c r="AN629"/>
      <c r="AO629"/>
      <c r="AP629"/>
      <c r="AQ629"/>
      <c r="AR629"/>
      <c r="AS629"/>
      <c r="AV629"/>
      <c r="AW629"/>
      <c r="AX629"/>
      <c r="AY629"/>
      <c r="AZ629"/>
      <c r="BA629"/>
    </row>
    <row r="630" spans="10:53" x14ac:dyDescent="0.25">
      <c r="J630"/>
      <c r="K630"/>
      <c r="L630"/>
      <c r="M630"/>
      <c r="O630"/>
      <c r="P630"/>
      <c r="Q630"/>
      <c r="R630"/>
      <c r="S630"/>
      <c r="T630"/>
      <c r="U630"/>
      <c r="V630"/>
      <c r="Y630"/>
      <c r="Z630"/>
      <c r="AA630"/>
      <c r="AB630"/>
      <c r="AF630"/>
      <c r="AG630"/>
      <c r="AH630"/>
      <c r="AI630"/>
      <c r="AJ630"/>
      <c r="AK630"/>
      <c r="AN630"/>
      <c r="AO630"/>
      <c r="AP630"/>
      <c r="AQ630"/>
      <c r="AR630"/>
      <c r="AS630"/>
      <c r="AV630"/>
      <c r="AW630"/>
      <c r="AX630"/>
      <c r="AY630"/>
      <c r="AZ630"/>
      <c r="BA630"/>
    </row>
    <row r="631" spans="10:53" x14ac:dyDescent="0.25">
      <c r="J631"/>
      <c r="K631"/>
      <c r="L631"/>
      <c r="M631"/>
      <c r="O631"/>
      <c r="P631"/>
      <c r="Q631"/>
      <c r="R631"/>
      <c r="S631"/>
      <c r="T631"/>
      <c r="U631"/>
      <c r="V631"/>
      <c r="Y631"/>
      <c r="Z631"/>
      <c r="AA631"/>
      <c r="AB631"/>
      <c r="AF631"/>
      <c r="AG631"/>
      <c r="AH631"/>
      <c r="AI631"/>
      <c r="AJ631"/>
      <c r="AK631"/>
      <c r="AN631"/>
      <c r="AO631"/>
      <c r="AP631"/>
      <c r="AQ631"/>
      <c r="AR631"/>
      <c r="AS631"/>
      <c r="AV631"/>
      <c r="AW631"/>
      <c r="AX631"/>
      <c r="AY631"/>
      <c r="AZ631"/>
      <c r="BA631"/>
    </row>
    <row r="632" spans="10:53" x14ac:dyDescent="0.25">
      <c r="J632"/>
      <c r="K632"/>
      <c r="L632"/>
      <c r="M632"/>
      <c r="O632"/>
      <c r="P632"/>
      <c r="Q632"/>
      <c r="R632"/>
      <c r="S632"/>
      <c r="T632"/>
      <c r="U632"/>
      <c r="V632"/>
      <c r="Y632"/>
      <c r="Z632"/>
      <c r="AA632"/>
      <c r="AB632"/>
      <c r="AF632"/>
      <c r="AG632"/>
      <c r="AH632"/>
      <c r="AI632"/>
      <c r="AJ632"/>
      <c r="AK632"/>
      <c r="AN632"/>
      <c r="AO632"/>
      <c r="AP632"/>
      <c r="AQ632"/>
      <c r="AR632"/>
      <c r="AS632"/>
      <c r="AV632"/>
      <c r="AW632"/>
      <c r="AX632"/>
      <c r="AY632"/>
      <c r="AZ632"/>
      <c r="BA632"/>
    </row>
    <row r="633" spans="10:53" x14ac:dyDescent="0.25">
      <c r="J633"/>
      <c r="K633"/>
      <c r="L633"/>
      <c r="M633"/>
      <c r="O633"/>
      <c r="P633"/>
      <c r="Q633"/>
      <c r="R633"/>
      <c r="S633"/>
      <c r="T633"/>
      <c r="U633"/>
      <c r="V633"/>
      <c r="Y633"/>
      <c r="Z633"/>
      <c r="AA633"/>
      <c r="AB633"/>
      <c r="AF633"/>
      <c r="AG633"/>
      <c r="AH633"/>
      <c r="AI633"/>
      <c r="AJ633"/>
      <c r="AK633"/>
      <c r="AN633"/>
      <c r="AO633"/>
      <c r="AP633"/>
      <c r="AQ633"/>
      <c r="AR633"/>
      <c r="AS633"/>
      <c r="AV633"/>
      <c r="AW633"/>
      <c r="AX633"/>
      <c r="AY633"/>
      <c r="AZ633"/>
      <c r="BA633"/>
    </row>
    <row r="634" spans="10:53" x14ac:dyDescent="0.25">
      <c r="J634"/>
      <c r="K634"/>
      <c r="L634"/>
      <c r="M634"/>
      <c r="O634"/>
      <c r="P634"/>
      <c r="Q634"/>
      <c r="R634"/>
      <c r="S634"/>
      <c r="T634"/>
      <c r="U634"/>
      <c r="V634"/>
      <c r="Y634"/>
      <c r="Z634"/>
      <c r="AA634"/>
      <c r="AB634"/>
      <c r="AF634"/>
      <c r="AG634"/>
      <c r="AH634"/>
      <c r="AI634"/>
      <c r="AJ634"/>
      <c r="AK634"/>
      <c r="AN634"/>
      <c r="AO634"/>
      <c r="AP634"/>
      <c r="AQ634"/>
      <c r="AR634"/>
      <c r="AS634"/>
      <c r="AV634"/>
      <c r="AW634"/>
      <c r="AX634"/>
      <c r="AY634"/>
      <c r="AZ634"/>
      <c r="BA634"/>
    </row>
    <row r="635" spans="10:53" x14ac:dyDescent="0.25">
      <c r="J635"/>
      <c r="K635"/>
      <c r="L635"/>
      <c r="M635"/>
      <c r="O635"/>
      <c r="P635"/>
      <c r="Q635"/>
      <c r="R635"/>
      <c r="S635"/>
      <c r="T635"/>
      <c r="U635"/>
      <c r="V635"/>
      <c r="Y635"/>
      <c r="Z635"/>
      <c r="AA635"/>
      <c r="AB635"/>
      <c r="AF635"/>
      <c r="AG635"/>
      <c r="AH635"/>
      <c r="AI635"/>
      <c r="AJ635"/>
      <c r="AK635"/>
      <c r="AN635"/>
      <c r="AO635"/>
      <c r="AP635"/>
      <c r="AQ635"/>
      <c r="AR635"/>
      <c r="AS635"/>
      <c r="AV635"/>
      <c r="AW635"/>
      <c r="AX635"/>
      <c r="AY635"/>
      <c r="AZ635"/>
      <c r="BA635"/>
    </row>
    <row r="636" spans="10:53" x14ac:dyDescent="0.25">
      <c r="J636"/>
      <c r="K636"/>
      <c r="L636"/>
      <c r="M636"/>
      <c r="O636"/>
      <c r="P636"/>
      <c r="Q636"/>
      <c r="R636"/>
      <c r="S636"/>
      <c r="T636"/>
      <c r="U636"/>
      <c r="V636"/>
      <c r="Y636"/>
      <c r="Z636"/>
      <c r="AA636"/>
      <c r="AB636"/>
      <c r="AF636"/>
      <c r="AG636"/>
      <c r="AH636"/>
      <c r="AI636"/>
      <c r="AJ636"/>
      <c r="AK636"/>
      <c r="AN636"/>
      <c r="AO636"/>
      <c r="AP636"/>
      <c r="AQ636"/>
      <c r="AR636"/>
      <c r="AS636"/>
      <c r="AV636"/>
      <c r="AW636"/>
      <c r="AX636"/>
      <c r="AY636"/>
      <c r="AZ636"/>
      <c r="BA636"/>
    </row>
    <row r="637" spans="10:53" x14ac:dyDescent="0.25">
      <c r="J637"/>
      <c r="K637"/>
      <c r="L637"/>
      <c r="M637"/>
      <c r="O637"/>
      <c r="P637"/>
      <c r="Q637"/>
      <c r="R637"/>
      <c r="S637"/>
      <c r="T637"/>
      <c r="U637"/>
      <c r="V637"/>
      <c r="Y637"/>
      <c r="Z637"/>
      <c r="AA637"/>
      <c r="AB637"/>
      <c r="AF637"/>
      <c r="AG637"/>
      <c r="AH637"/>
      <c r="AI637"/>
      <c r="AJ637"/>
      <c r="AK637"/>
      <c r="AN637"/>
      <c r="AO637"/>
      <c r="AP637"/>
      <c r="AQ637"/>
      <c r="AR637"/>
      <c r="AS637"/>
      <c r="AV637"/>
      <c r="AW637"/>
      <c r="AX637"/>
      <c r="AY637"/>
      <c r="AZ637"/>
      <c r="BA637"/>
    </row>
    <row r="638" spans="10:53" x14ac:dyDescent="0.25">
      <c r="J638"/>
      <c r="K638"/>
      <c r="L638"/>
      <c r="M638"/>
      <c r="O638"/>
      <c r="P638"/>
      <c r="Q638"/>
      <c r="R638"/>
      <c r="S638"/>
      <c r="T638"/>
      <c r="U638"/>
      <c r="V638"/>
      <c r="Y638"/>
      <c r="Z638"/>
      <c r="AA638"/>
      <c r="AB638"/>
      <c r="AF638"/>
      <c r="AG638"/>
      <c r="AH638"/>
      <c r="AI638"/>
      <c r="AJ638"/>
      <c r="AK638"/>
      <c r="AN638"/>
      <c r="AO638"/>
      <c r="AP638"/>
      <c r="AQ638"/>
      <c r="AR638"/>
      <c r="AS638"/>
      <c r="AV638"/>
      <c r="AW638"/>
      <c r="AX638"/>
      <c r="AY638"/>
      <c r="AZ638"/>
      <c r="BA638"/>
    </row>
    <row r="639" spans="10:53" x14ac:dyDescent="0.25">
      <c r="J639"/>
      <c r="K639"/>
      <c r="L639"/>
      <c r="M639"/>
      <c r="O639"/>
      <c r="P639"/>
      <c r="Q639"/>
      <c r="R639"/>
      <c r="S639"/>
      <c r="T639"/>
      <c r="U639"/>
      <c r="V639"/>
      <c r="Y639"/>
      <c r="Z639"/>
      <c r="AA639"/>
      <c r="AB639"/>
      <c r="AF639"/>
      <c r="AG639"/>
      <c r="AH639"/>
      <c r="AI639"/>
      <c r="AJ639"/>
      <c r="AK639"/>
      <c r="AN639"/>
      <c r="AO639"/>
      <c r="AP639"/>
      <c r="AQ639"/>
      <c r="AR639"/>
      <c r="AS639"/>
      <c r="AV639"/>
      <c r="AW639"/>
      <c r="AX639"/>
      <c r="AY639"/>
      <c r="AZ639"/>
      <c r="BA639"/>
    </row>
    <row r="640" spans="10:53" x14ac:dyDescent="0.25">
      <c r="J640"/>
      <c r="K640"/>
      <c r="L640"/>
      <c r="M640"/>
      <c r="O640"/>
      <c r="P640"/>
      <c r="Q640"/>
      <c r="R640"/>
      <c r="S640"/>
      <c r="T640"/>
      <c r="U640"/>
      <c r="V640"/>
      <c r="Y640"/>
      <c r="Z640"/>
      <c r="AA640"/>
      <c r="AB640"/>
      <c r="AF640"/>
      <c r="AG640"/>
      <c r="AH640"/>
      <c r="AI640"/>
      <c r="AJ640"/>
      <c r="AK640"/>
      <c r="AN640"/>
      <c r="AO640"/>
      <c r="AP640"/>
      <c r="AQ640"/>
      <c r="AR640"/>
      <c r="AS640"/>
      <c r="AV640"/>
      <c r="AW640"/>
      <c r="AX640"/>
      <c r="AY640"/>
      <c r="AZ640"/>
      <c r="BA640"/>
    </row>
    <row r="641" spans="10:53" x14ac:dyDescent="0.25">
      <c r="J641"/>
      <c r="K641"/>
      <c r="L641"/>
      <c r="M641"/>
      <c r="O641"/>
      <c r="P641"/>
      <c r="Q641"/>
      <c r="R641"/>
      <c r="S641"/>
      <c r="T641"/>
      <c r="U641"/>
      <c r="V641"/>
      <c r="Y641"/>
      <c r="Z641"/>
      <c r="AA641"/>
      <c r="AB641"/>
      <c r="AF641"/>
      <c r="AG641"/>
      <c r="AH641"/>
      <c r="AI641"/>
      <c r="AJ641"/>
      <c r="AK641"/>
      <c r="AN641"/>
      <c r="AO641"/>
      <c r="AP641"/>
      <c r="AQ641"/>
      <c r="AR641"/>
      <c r="AS641"/>
      <c r="AV641"/>
      <c r="AW641"/>
      <c r="AX641"/>
      <c r="AY641"/>
      <c r="AZ641"/>
      <c r="BA641"/>
    </row>
    <row r="642" spans="10:53" x14ac:dyDescent="0.25">
      <c r="J642"/>
      <c r="K642"/>
      <c r="L642"/>
      <c r="M642"/>
      <c r="O642"/>
      <c r="P642"/>
      <c r="Q642"/>
      <c r="R642"/>
      <c r="S642"/>
      <c r="T642"/>
      <c r="U642"/>
      <c r="V642"/>
      <c r="Y642"/>
      <c r="Z642"/>
      <c r="AA642"/>
      <c r="AB642"/>
      <c r="AF642"/>
      <c r="AG642"/>
      <c r="AH642"/>
      <c r="AI642"/>
      <c r="AJ642"/>
      <c r="AK642"/>
      <c r="AN642"/>
      <c r="AO642"/>
      <c r="AP642"/>
      <c r="AQ642"/>
      <c r="AR642"/>
      <c r="AS642"/>
      <c r="AV642"/>
      <c r="AW642"/>
      <c r="AX642"/>
      <c r="AY642"/>
      <c r="AZ642"/>
      <c r="BA642"/>
    </row>
    <row r="643" spans="10:53" x14ac:dyDescent="0.25">
      <c r="J643"/>
      <c r="K643"/>
      <c r="L643"/>
      <c r="M643"/>
      <c r="O643"/>
      <c r="P643"/>
      <c r="Q643"/>
      <c r="R643"/>
      <c r="S643"/>
      <c r="T643"/>
      <c r="U643"/>
      <c r="V643"/>
      <c r="Y643"/>
      <c r="Z643"/>
      <c r="AA643"/>
      <c r="AB643"/>
      <c r="AF643"/>
      <c r="AG643"/>
      <c r="AH643"/>
      <c r="AI643"/>
      <c r="AJ643"/>
      <c r="AK643"/>
      <c r="AN643"/>
      <c r="AO643"/>
      <c r="AP643"/>
      <c r="AQ643"/>
      <c r="AR643"/>
      <c r="AS643"/>
      <c r="AV643"/>
      <c r="AW643"/>
      <c r="AX643"/>
      <c r="AY643"/>
      <c r="AZ643"/>
      <c r="BA643"/>
    </row>
    <row r="644" spans="10:53" x14ac:dyDescent="0.25">
      <c r="J644"/>
      <c r="K644"/>
      <c r="L644"/>
      <c r="M644"/>
      <c r="O644"/>
      <c r="P644"/>
      <c r="Q644"/>
      <c r="R644"/>
      <c r="S644"/>
      <c r="T644"/>
      <c r="U644"/>
      <c r="V644"/>
      <c r="Y644"/>
      <c r="Z644"/>
      <c r="AA644"/>
      <c r="AB644"/>
      <c r="AF644"/>
      <c r="AG644"/>
      <c r="AH644"/>
      <c r="AI644"/>
      <c r="AJ644"/>
      <c r="AK644"/>
      <c r="AN644"/>
      <c r="AO644"/>
      <c r="AP644"/>
      <c r="AQ644"/>
      <c r="AR644"/>
      <c r="AS644"/>
      <c r="AV644"/>
      <c r="AW644"/>
      <c r="AX644"/>
      <c r="AY644"/>
      <c r="AZ644"/>
      <c r="BA644"/>
    </row>
    <row r="645" spans="10:53" x14ac:dyDescent="0.25">
      <c r="J645"/>
      <c r="K645"/>
      <c r="L645"/>
      <c r="M645"/>
      <c r="O645"/>
      <c r="P645"/>
      <c r="Q645"/>
      <c r="R645"/>
      <c r="S645"/>
      <c r="T645"/>
      <c r="U645"/>
      <c r="V645"/>
      <c r="Y645"/>
      <c r="Z645"/>
      <c r="AA645"/>
      <c r="AB645"/>
      <c r="AF645"/>
      <c r="AG645"/>
      <c r="AH645"/>
      <c r="AI645"/>
      <c r="AJ645"/>
      <c r="AK645"/>
      <c r="AN645"/>
      <c r="AO645"/>
      <c r="AP645"/>
      <c r="AQ645"/>
      <c r="AR645"/>
      <c r="AS645"/>
      <c r="AV645"/>
      <c r="AW645"/>
      <c r="AX645"/>
      <c r="AY645"/>
      <c r="AZ645"/>
      <c r="BA645"/>
    </row>
    <row r="646" spans="10:53" x14ac:dyDescent="0.25">
      <c r="J646"/>
      <c r="K646"/>
      <c r="L646"/>
      <c r="M646"/>
      <c r="O646"/>
      <c r="P646"/>
      <c r="Q646"/>
      <c r="R646"/>
      <c r="S646"/>
      <c r="T646"/>
      <c r="U646"/>
      <c r="V646"/>
      <c r="Y646"/>
      <c r="Z646"/>
      <c r="AA646"/>
      <c r="AB646"/>
      <c r="AF646"/>
      <c r="AG646"/>
      <c r="AH646"/>
      <c r="AI646"/>
      <c r="AJ646"/>
      <c r="AK646"/>
      <c r="AN646"/>
      <c r="AO646"/>
      <c r="AP646"/>
      <c r="AQ646"/>
      <c r="AR646"/>
      <c r="AS646"/>
      <c r="AV646"/>
      <c r="AW646"/>
      <c r="AX646"/>
      <c r="AY646"/>
      <c r="AZ646"/>
      <c r="BA646"/>
    </row>
    <row r="647" spans="10:53" x14ac:dyDescent="0.25">
      <c r="J647"/>
      <c r="K647"/>
      <c r="L647"/>
      <c r="M647"/>
      <c r="O647"/>
      <c r="P647"/>
      <c r="Q647"/>
      <c r="R647"/>
      <c r="S647"/>
      <c r="T647"/>
      <c r="U647"/>
      <c r="V647"/>
      <c r="Y647"/>
      <c r="Z647"/>
      <c r="AA647"/>
      <c r="AB647"/>
      <c r="AF647"/>
      <c r="AG647"/>
      <c r="AH647"/>
      <c r="AI647"/>
      <c r="AJ647"/>
      <c r="AK647"/>
      <c r="AN647"/>
      <c r="AO647"/>
      <c r="AP647"/>
      <c r="AQ647"/>
      <c r="AR647"/>
      <c r="AS647"/>
      <c r="AV647"/>
      <c r="AW647"/>
      <c r="AX647"/>
      <c r="AY647"/>
      <c r="AZ647"/>
      <c r="BA647"/>
    </row>
    <row r="648" spans="10:53" x14ac:dyDescent="0.25">
      <c r="J648"/>
      <c r="K648"/>
      <c r="L648"/>
      <c r="M648"/>
      <c r="O648"/>
      <c r="P648"/>
      <c r="Q648"/>
      <c r="R648"/>
      <c r="S648"/>
      <c r="T648"/>
      <c r="U648"/>
      <c r="V648"/>
      <c r="Y648"/>
      <c r="Z648"/>
      <c r="AA648"/>
      <c r="AB648"/>
      <c r="AF648"/>
      <c r="AG648"/>
      <c r="AH648"/>
      <c r="AI648"/>
      <c r="AJ648"/>
      <c r="AK648"/>
      <c r="AN648"/>
      <c r="AO648"/>
      <c r="AP648"/>
      <c r="AQ648"/>
      <c r="AR648"/>
      <c r="AS648"/>
      <c r="AV648"/>
      <c r="AW648"/>
      <c r="AX648"/>
      <c r="AY648"/>
      <c r="AZ648"/>
      <c r="BA648"/>
    </row>
    <row r="649" spans="10:53" x14ac:dyDescent="0.25">
      <c r="J649"/>
      <c r="K649"/>
      <c r="L649"/>
      <c r="M649"/>
      <c r="O649"/>
      <c r="P649"/>
      <c r="Q649"/>
      <c r="R649"/>
      <c r="S649"/>
      <c r="T649"/>
      <c r="U649"/>
      <c r="V649"/>
      <c r="Y649"/>
      <c r="Z649"/>
      <c r="AA649"/>
      <c r="AB649"/>
      <c r="AF649"/>
      <c r="AG649"/>
      <c r="AH649"/>
      <c r="AI649"/>
      <c r="AJ649"/>
      <c r="AK649"/>
      <c r="AN649"/>
      <c r="AO649"/>
      <c r="AP649"/>
      <c r="AQ649"/>
      <c r="AR649"/>
      <c r="AS649"/>
      <c r="AV649"/>
      <c r="AW649"/>
      <c r="AX649"/>
      <c r="AY649"/>
      <c r="AZ649"/>
      <c r="BA649"/>
    </row>
    <row r="650" spans="10:53" x14ac:dyDescent="0.25">
      <c r="J650"/>
      <c r="K650"/>
      <c r="L650"/>
      <c r="M650"/>
      <c r="O650"/>
      <c r="P650"/>
      <c r="Q650"/>
      <c r="R650"/>
      <c r="S650"/>
      <c r="T650"/>
      <c r="U650"/>
      <c r="V650"/>
      <c r="Y650"/>
      <c r="Z650"/>
      <c r="AA650"/>
      <c r="AB650"/>
      <c r="AF650"/>
      <c r="AG650"/>
      <c r="AH650"/>
      <c r="AI650"/>
      <c r="AJ650"/>
      <c r="AK650"/>
      <c r="AN650"/>
      <c r="AO650"/>
      <c r="AP650"/>
      <c r="AQ650"/>
      <c r="AR650"/>
      <c r="AS650"/>
      <c r="AV650"/>
      <c r="AW650"/>
      <c r="AX650"/>
      <c r="AY650"/>
      <c r="AZ650"/>
      <c r="BA650"/>
    </row>
    <row r="651" spans="10:53" x14ac:dyDescent="0.25">
      <c r="J651"/>
      <c r="K651"/>
      <c r="L651"/>
      <c r="M651"/>
      <c r="O651"/>
      <c r="P651"/>
      <c r="Q651"/>
      <c r="R651"/>
      <c r="S651"/>
      <c r="T651"/>
      <c r="U651"/>
      <c r="V651"/>
      <c r="Y651"/>
      <c r="Z651"/>
      <c r="AA651"/>
      <c r="AB651"/>
      <c r="AF651"/>
      <c r="AG651"/>
      <c r="AH651"/>
      <c r="AI651"/>
      <c r="AJ651"/>
      <c r="AK651"/>
      <c r="AN651"/>
      <c r="AO651"/>
      <c r="AP651"/>
      <c r="AQ651"/>
      <c r="AR651"/>
      <c r="AS651"/>
      <c r="AV651"/>
      <c r="AW651"/>
      <c r="AX651"/>
      <c r="AY651"/>
      <c r="AZ651"/>
      <c r="BA651"/>
    </row>
    <row r="652" spans="10:53" x14ac:dyDescent="0.25">
      <c r="J652"/>
      <c r="K652"/>
      <c r="L652"/>
      <c r="M652"/>
      <c r="O652"/>
      <c r="P652"/>
      <c r="Q652"/>
      <c r="R652"/>
      <c r="S652"/>
      <c r="T652"/>
      <c r="U652"/>
      <c r="V652"/>
      <c r="Y652"/>
      <c r="Z652"/>
      <c r="AA652"/>
      <c r="AB652"/>
      <c r="AF652"/>
      <c r="AG652"/>
      <c r="AH652"/>
      <c r="AI652"/>
      <c r="AJ652"/>
      <c r="AK652"/>
      <c r="AN652"/>
      <c r="AO652"/>
      <c r="AP652"/>
      <c r="AQ652"/>
      <c r="AR652"/>
      <c r="AS652"/>
      <c r="AV652"/>
      <c r="AW652"/>
      <c r="AX652"/>
      <c r="AY652"/>
      <c r="AZ652"/>
      <c r="BA652"/>
    </row>
    <row r="653" spans="10:53" x14ac:dyDescent="0.25">
      <c r="J653"/>
      <c r="K653"/>
      <c r="L653"/>
      <c r="M653"/>
      <c r="O653"/>
      <c r="P653"/>
      <c r="Q653"/>
      <c r="R653"/>
      <c r="S653"/>
      <c r="T653"/>
      <c r="U653"/>
      <c r="V653"/>
      <c r="Y653"/>
      <c r="Z653"/>
      <c r="AA653"/>
      <c r="AB653"/>
      <c r="AF653"/>
      <c r="AG653"/>
      <c r="AH653"/>
      <c r="AI653"/>
      <c r="AJ653"/>
      <c r="AK653"/>
      <c r="AN653"/>
      <c r="AO653"/>
      <c r="AP653"/>
      <c r="AQ653"/>
      <c r="AR653"/>
      <c r="AS653"/>
      <c r="AV653"/>
      <c r="AW653"/>
      <c r="AX653"/>
      <c r="AY653"/>
      <c r="AZ653"/>
      <c r="BA653"/>
    </row>
    <row r="654" spans="10:53" x14ac:dyDescent="0.25">
      <c r="J654"/>
      <c r="K654"/>
      <c r="L654"/>
      <c r="M654"/>
      <c r="O654"/>
      <c r="P654"/>
      <c r="Q654"/>
      <c r="R654"/>
      <c r="S654"/>
      <c r="T654"/>
      <c r="U654"/>
      <c r="V654"/>
      <c r="Y654"/>
      <c r="Z654"/>
      <c r="AA654"/>
      <c r="AB654"/>
      <c r="AF654"/>
      <c r="AG654"/>
      <c r="AH654"/>
      <c r="AI654"/>
      <c r="AJ654"/>
      <c r="AK654"/>
      <c r="AN654"/>
      <c r="AO654"/>
      <c r="AP654"/>
      <c r="AQ654"/>
      <c r="AR654"/>
      <c r="AS654"/>
      <c r="AV654"/>
      <c r="AW654"/>
      <c r="AX654"/>
      <c r="AY654"/>
      <c r="AZ654"/>
      <c r="BA654"/>
    </row>
    <row r="655" spans="10:53" x14ac:dyDescent="0.25">
      <c r="J655"/>
      <c r="K655"/>
      <c r="L655"/>
      <c r="M655"/>
      <c r="O655"/>
      <c r="P655"/>
      <c r="Q655"/>
      <c r="R655"/>
      <c r="S655"/>
      <c r="T655"/>
      <c r="U655"/>
      <c r="V655"/>
      <c r="Y655"/>
      <c r="Z655"/>
      <c r="AA655"/>
      <c r="AB655"/>
      <c r="AF655"/>
      <c r="AG655"/>
      <c r="AH655"/>
      <c r="AI655"/>
      <c r="AJ655"/>
      <c r="AK655"/>
      <c r="AN655"/>
      <c r="AO655"/>
      <c r="AP655"/>
      <c r="AQ655"/>
      <c r="AR655"/>
      <c r="AS655"/>
      <c r="AV655"/>
      <c r="AW655"/>
      <c r="AX655"/>
      <c r="AY655"/>
      <c r="AZ655"/>
      <c r="BA655"/>
    </row>
    <row r="656" spans="10:53" x14ac:dyDescent="0.25">
      <c r="J656"/>
      <c r="K656"/>
      <c r="L656"/>
      <c r="M656"/>
      <c r="O656"/>
      <c r="P656"/>
      <c r="Q656"/>
      <c r="R656"/>
      <c r="S656"/>
      <c r="T656"/>
      <c r="U656"/>
      <c r="V656"/>
      <c r="Y656"/>
      <c r="Z656"/>
      <c r="AA656"/>
      <c r="AB656"/>
      <c r="AF656"/>
      <c r="AG656"/>
      <c r="AH656"/>
      <c r="AI656"/>
      <c r="AJ656"/>
      <c r="AK656"/>
      <c r="AN656"/>
      <c r="AO656"/>
      <c r="AP656"/>
      <c r="AQ656"/>
      <c r="AR656"/>
      <c r="AS656"/>
      <c r="AV656"/>
      <c r="AW656"/>
      <c r="AX656"/>
      <c r="AY656"/>
      <c r="AZ656"/>
      <c r="BA656"/>
    </row>
    <row r="657" spans="10:53" x14ac:dyDescent="0.25">
      <c r="J657"/>
      <c r="K657"/>
      <c r="L657"/>
      <c r="M657"/>
      <c r="O657"/>
      <c r="P657"/>
      <c r="Q657"/>
      <c r="R657"/>
      <c r="S657"/>
      <c r="T657"/>
      <c r="U657"/>
      <c r="V657"/>
      <c r="Y657"/>
      <c r="Z657"/>
      <c r="AA657"/>
      <c r="AB657"/>
      <c r="AF657"/>
      <c r="AG657"/>
      <c r="AH657"/>
      <c r="AI657"/>
      <c r="AJ657"/>
      <c r="AK657"/>
      <c r="AN657"/>
      <c r="AO657"/>
      <c r="AP657"/>
      <c r="AQ657"/>
      <c r="AR657"/>
      <c r="AS657"/>
      <c r="AV657"/>
      <c r="AW657"/>
      <c r="AX657"/>
      <c r="AY657"/>
      <c r="AZ657"/>
      <c r="BA657"/>
    </row>
    <row r="658" spans="10:53" x14ac:dyDescent="0.25">
      <c r="J658"/>
      <c r="K658"/>
      <c r="L658"/>
      <c r="M658"/>
      <c r="O658"/>
      <c r="P658"/>
      <c r="Q658"/>
      <c r="R658"/>
      <c r="S658"/>
      <c r="T658"/>
      <c r="U658"/>
      <c r="V658"/>
      <c r="Y658"/>
      <c r="Z658"/>
      <c r="AA658"/>
      <c r="AB658"/>
      <c r="AF658"/>
      <c r="AG658"/>
      <c r="AH658"/>
      <c r="AI658"/>
      <c r="AJ658"/>
      <c r="AK658"/>
      <c r="AN658"/>
      <c r="AO658"/>
      <c r="AP658"/>
      <c r="AQ658"/>
      <c r="AR658"/>
      <c r="AS658"/>
      <c r="AV658"/>
      <c r="AW658"/>
      <c r="AX658"/>
      <c r="AY658"/>
      <c r="AZ658"/>
      <c r="BA658"/>
    </row>
    <row r="659" spans="10:53" x14ac:dyDescent="0.25">
      <c r="J659"/>
      <c r="K659"/>
      <c r="L659"/>
      <c r="M659"/>
      <c r="O659"/>
      <c r="P659"/>
      <c r="Q659"/>
      <c r="R659"/>
      <c r="S659"/>
      <c r="T659"/>
      <c r="U659"/>
      <c r="V659"/>
      <c r="Y659"/>
      <c r="Z659"/>
      <c r="AA659"/>
      <c r="AB659"/>
      <c r="AF659"/>
      <c r="AG659"/>
      <c r="AH659"/>
      <c r="AI659"/>
      <c r="AJ659"/>
      <c r="AK659"/>
      <c r="AN659"/>
      <c r="AO659"/>
      <c r="AP659"/>
      <c r="AQ659"/>
      <c r="AR659"/>
      <c r="AS659"/>
      <c r="AV659"/>
      <c r="AW659"/>
      <c r="AX659"/>
      <c r="AY659"/>
      <c r="AZ659"/>
      <c r="BA659"/>
    </row>
    <row r="660" spans="10:53" x14ac:dyDescent="0.25">
      <c r="J660"/>
      <c r="K660"/>
      <c r="L660"/>
      <c r="M660"/>
      <c r="O660"/>
      <c r="P660"/>
      <c r="Q660"/>
      <c r="R660"/>
      <c r="S660"/>
      <c r="T660"/>
      <c r="U660"/>
      <c r="V660"/>
      <c r="Y660"/>
      <c r="Z660"/>
      <c r="AA660"/>
      <c r="AB660"/>
      <c r="AF660"/>
      <c r="AG660"/>
      <c r="AH660"/>
      <c r="AI660"/>
      <c r="AJ660"/>
      <c r="AK660"/>
      <c r="AN660"/>
      <c r="AO660"/>
      <c r="AP660"/>
      <c r="AQ660"/>
      <c r="AR660"/>
      <c r="AS660"/>
      <c r="AV660"/>
      <c r="AW660"/>
      <c r="AX660"/>
      <c r="AY660"/>
      <c r="AZ660"/>
      <c r="BA660"/>
    </row>
    <row r="661" spans="10:53" x14ac:dyDescent="0.25">
      <c r="J661"/>
      <c r="K661"/>
      <c r="L661"/>
      <c r="M661"/>
      <c r="O661"/>
      <c r="P661"/>
      <c r="Q661"/>
      <c r="R661"/>
      <c r="S661"/>
      <c r="T661"/>
      <c r="U661"/>
      <c r="V661"/>
      <c r="Y661"/>
      <c r="Z661"/>
      <c r="AA661"/>
      <c r="AB661"/>
      <c r="AF661"/>
      <c r="AG661"/>
      <c r="AH661"/>
      <c r="AI661"/>
      <c r="AJ661"/>
      <c r="AK661"/>
      <c r="AN661"/>
      <c r="AO661"/>
      <c r="AP661"/>
      <c r="AQ661"/>
      <c r="AR661"/>
      <c r="AS661"/>
      <c r="AV661"/>
      <c r="AW661"/>
      <c r="AX661"/>
      <c r="AY661"/>
      <c r="AZ661"/>
      <c r="BA661"/>
    </row>
    <row r="662" spans="10:53" x14ac:dyDescent="0.25">
      <c r="J662"/>
      <c r="K662"/>
      <c r="L662"/>
      <c r="M662"/>
      <c r="O662"/>
      <c r="P662"/>
      <c r="Q662"/>
      <c r="R662"/>
      <c r="S662"/>
      <c r="T662"/>
      <c r="U662"/>
      <c r="V662"/>
      <c r="Y662"/>
      <c r="Z662"/>
      <c r="AA662"/>
      <c r="AB662"/>
      <c r="AF662"/>
      <c r="AG662"/>
      <c r="AH662"/>
      <c r="AI662"/>
      <c r="AJ662"/>
      <c r="AK662"/>
      <c r="AN662"/>
      <c r="AO662"/>
      <c r="AP662"/>
      <c r="AQ662"/>
      <c r="AR662"/>
      <c r="AS662"/>
      <c r="AV662"/>
      <c r="AW662"/>
      <c r="AX662"/>
      <c r="AY662"/>
      <c r="AZ662"/>
      <c r="BA662"/>
    </row>
    <row r="663" spans="10:53" x14ac:dyDescent="0.25">
      <c r="J663"/>
      <c r="K663"/>
      <c r="L663"/>
      <c r="M663"/>
      <c r="O663"/>
      <c r="P663"/>
      <c r="Q663"/>
      <c r="R663"/>
      <c r="S663"/>
      <c r="T663"/>
      <c r="U663"/>
      <c r="V663"/>
      <c r="Y663"/>
      <c r="Z663"/>
      <c r="AA663"/>
      <c r="AB663"/>
      <c r="AF663"/>
      <c r="AG663"/>
      <c r="AH663"/>
      <c r="AI663"/>
      <c r="AJ663"/>
      <c r="AK663"/>
      <c r="AN663"/>
      <c r="AO663"/>
      <c r="AP663"/>
      <c r="AQ663"/>
      <c r="AR663"/>
      <c r="AS663"/>
      <c r="AV663"/>
      <c r="AW663"/>
      <c r="AX663"/>
      <c r="AY663"/>
      <c r="AZ663"/>
      <c r="BA663"/>
    </row>
    <row r="664" spans="10:53" x14ac:dyDescent="0.25">
      <c r="J664"/>
      <c r="K664"/>
      <c r="L664"/>
      <c r="M664"/>
      <c r="O664"/>
      <c r="P664"/>
      <c r="Q664"/>
      <c r="R664"/>
      <c r="S664"/>
      <c r="T664"/>
      <c r="U664"/>
      <c r="V664"/>
      <c r="Y664"/>
      <c r="Z664"/>
      <c r="AA664"/>
      <c r="AB664"/>
      <c r="AF664"/>
      <c r="AG664"/>
      <c r="AH664"/>
      <c r="AI664"/>
      <c r="AJ664"/>
      <c r="AK664"/>
      <c r="AN664"/>
      <c r="AO664"/>
      <c r="AP664"/>
      <c r="AQ664"/>
      <c r="AR664"/>
      <c r="AS664"/>
      <c r="AV664"/>
      <c r="AW664"/>
      <c r="AX664"/>
      <c r="AY664"/>
      <c r="AZ664"/>
      <c r="BA664"/>
    </row>
    <row r="665" spans="10:53" x14ac:dyDescent="0.25">
      <c r="J665"/>
      <c r="K665"/>
      <c r="L665"/>
      <c r="M665"/>
      <c r="O665"/>
      <c r="P665"/>
      <c r="Q665"/>
      <c r="R665"/>
      <c r="S665"/>
      <c r="T665"/>
      <c r="U665"/>
      <c r="V665"/>
      <c r="Y665"/>
      <c r="Z665"/>
      <c r="AA665"/>
      <c r="AB665"/>
      <c r="AF665"/>
      <c r="AG665"/>
      <c r="AH665"/>
      <c r="AI665"/>
      <c r="AJ665"/>
      <c r="AK665"/>
      <c r="AN665"/>
      <c r="AO665"/>
      <c r="AP665"/>
      <c r="AQ665"/>
      <c r="AR665"/>
      <c r="AS665"/>
      <c r="AV665"/>
      <c r="AW665"/>
      <c r="AX665"/>
      <c r="AY665"/>
      <c r="AZ665"/>
      <c r="BA665"/>
    </row>
    <row r="666" spans="10:53" x14ac:dyDescent="0.25">
      <c r="J666"/>
      <c r="K666"/>
      <c r="L666"/>
      <c r="M666"/>
      <c r="O666"/>
      <c r="P666"/>
      <c r="Q666"/>
      <c r="R666"/>
      <c r="S666"/>
      <c r="T666"/>
      <c r="U666"/>
      <c r="V666"/>
      <c r="Y666"/>
      <c r="Z666"/>
      <c r="AA666"/>
      <c r="AB666"/>
      <c r="AF666"/>
      <c r="AG666"/>
      <c r="AH666"/>
      <c r="AI666"/>
      <c r="AJ666"/>
      <c r="AK666"/>
      <c r="AN666"/>
      <c r="AO666"/>
      <c r="AP666"/>
      <c r="AQ666"/>
      <c r="AR666"/>
      <c r="AS666"/>
      <c r="AV666"/>
      <c r="AW666"/>
      <c r="AX666"/>
      <c r="AY666"/>
      <c r="AZ666"/>
      <c r="BA666"/>
    </row>
    <row r="667" spans="10:53" x14ac:dyDescent="0.25">
      <c r="J667"/>
      <c r="K667"/>
      <c r="L667"/>
      <c r="M667"/>
      <c r="O667"/>
      <c r="P667"/>
      <c r="Q667"/>
      <c r="R667"/>
      <c r="S667"/>
      <c r="T667"/>
      <c r="U667"/>
      <c r="V667"/>
      <c r="Y667"/>
      <c r="Z667"/>
      <c r="AA667"/>
      <c r="AB667"/>
      <c r="AF667"/>
      <c r="AG667"/>
      <c r="AH667"/>
      <c r="AI667"/>
      <c r="AJ667"/>
      <c r="AK667"/>
      <c r="AN667"/>
      <c r="AO667"/>
      <c r="AP667"/>
      <c r="AQ667"/>
      <c r="AR667"/>
      <c r="AS667"/>
      <c r="AV667"/>
      <c r="AW667"/>
      <c r="AX667"/>
      <c r="AY667"/>
      <c r="AZ667"/>
      <c r="BA667"/>
    </row>
    <row r="668" spans="10:53" x14ac:dyDescent="0.25">
      <c r="J668"/>
      <c r="K668"/>
      <c r="L668"/>
      <c r="M668"/>
      <c r="O668"/>
      <c r="P668"/>
      <c r="Q668"/>
      <c r="R668"/>
      <c r="S668"/>
      <c r="T668"/>
      <c r="U668"/>
      <c r="V668"/>
      <c r="Y668"/>
      <c r="Z668"/>
      <c r="AA668"/>
      <c r="AB668"/>
      <c r="AF668"/>
      <c r="AG668"/>
      <c r="AH668"/>
      <c r="AI668"/>
      <c r="AJ668"/>
      <c r="AK668"/>
      <c r="AN668"/>
      <c r="AO668"/>
      <c r="AP668"/>
      <c r="AQ668"/>
      <c r="AR668"/>
      <c r="AS668"/>
      <c r="AV668"/>
      <c r="AW668"/>
      <c r="AX668"/>
      <c r="AY668"/>
      <c r="AZ668"/>
      <c r="BA668"/>
    </row>
    <row r="669" spans="10:53" x14ac:dyDescent="0.25">
      <c r="J669"/>
      <c r="K669"/>
      <c r="L669"/>
      <c r="M669"/>
      <c r="O669"/>
      <c r="P669"/>
      <c r="Q669"/>
      <c r="R669"/>
      <c r="S669"/>
      <c r="T669"/>
      <c r="U669"/>
      <c r="V669"/>
      <c r="Y669"/>
      <c r="Z669"/>
      <c r="AA669"/>
      <c r="AB669"/>
      <c r="AF669"/>
      <c r="AG669"/>
      <c r="AH669"/>
      <c r="AI669"/>
      <c r="AJ669"/>
      <c r="AK669"/>
      <c r="AN669"/>
      <c r="AO669"/>
      <c r="AP669"/>
      <c r="AQ669"/>
      <c r="AR669"/>
      <c r="AS669"/>
      <c r="AV669"/>
      <c r="AW669"/>
      <c r="AX669"/>
      <c r="AY669"/>
      <c r="AZ669"/>
      <c r="BA669"/>
    </row>
    <row r="670" spans="10:53" x14ac:dyDescent="0.25">
      <c r="J670"/>
      <c r="K670"/>
      <c r="L670"/>
      <c r="M670"/>
      <c r="O670"/>
      <c r="P670"/>
      <c r="Q670"/>
      <c r="R670"/>
      <c r="S670"/>
      <c r="T670"/>
      <c r="U670"/>
      <c r="V670"/>
      <c r="Y670"/>
      <c r="Z670"/>
      <c r="AA670"/>
      <c r="AB670"/>
      <c r="AF670"/>
      <c r="AG670"/>
      <c r="AH670"/>
      <c r="AI670"/>
      <c r="AJ670"/>
      <c r="AK670"/>
      <c r="AN670"/>
      <c r="AO670"/>
      <c r="AP670"/>
      <c r="AQ670"/>
      <c r="AR670"/>
      <c r="AS670"/>
      <c r="AV670"/>
      <c r="AW670"/>
      <c r="AX670"/>
      <c r="AY670"/>
      <c r="AZ670"/>
      <c r="BA670"/>
    </row>
    <row r="671" spans="10:53" x14ac:dyDescent="0.25">
      <c r="J671"/>
      <c r="K671"/>
      <c r="L671"/>
      <c r="M671"/>
      <c r="O671"/>
      <c r="P671"/>
      <c r="Q671"/>
      <c r="R671"/>
      <c r="S671"/>
      <c r="T671"/>
      <c r="U671"/>
      <c r="V671"/>
      <c r="Y671"/>
      <c r="Z671"/>
      <c r="AA671"/>
      <c r="AB671"/>
      <c r="AF671"/>
      <c r="AG671"/>
      <c r="AH671"/>
      <c r="AI671"/>
      <c r="AJ671"/>
      <c r="AK671"/>
      <c r="AN671"/>
      <c r="AO671"/>
      <c r="AP671"/>
      <c r="AQ671"/>
      <c r="AR671"/>
      <c r="AS671"/>
      <c r="AV671"/>
      <c r="AW671"/>
      <c r="AX671"/>
      <c r="AY671"/>
      <c r="AZ671"/>
      <c r="BA671"/>
    </row>
    <row r="672" spans="10:53" x14ac:dyDescent="0.25">
      <c r="J672"/>
      <c r="K672"/>
      <c r="L672"/>
      <c r="M672"/>
      <c r="O672"/>
      <c r="P672"/>
      <c r="Q672"/>
      <c r="R672"/>
      <c r="S672"/>
      <c r="T672"/>
      <c r="U672"/>
      <c r="V672"/>
      <c r="Y672"/>
      <c r="Z672"/>
      <c r="AA672"/>
      <c r="AB672"/>
      <c r="AF672"/>
      <c r="AG672"/>
      <c r="AH672"/>
      <c r="AI672"/>
      <c r="AJ672"/>
      <c r="AK672"/>
      <c r="AN672"/>
      <c r="AO672"/>
      <c r="AP672"/>
      <c r="AQ672"/>
      <c r="AR672"/>
      <c r="AS672"/>
      <c r="AV672"/>
      <c r="AW672"/>
      <c r="AX672"/>
      <c r="AY672"/>
      <c r="AZ672"/>
      <c r="BA672"/>
    </row>
    <row r="673" spans="10:53" x14ac:dyDescent="0.25">
      <c r="J673"/>
      <c r="K673"/>
      <c r="L673"/>
      <c r="M673"/>
      <c r="O673"/>
      <c r="P673"/>
      <c r="Q673"/>
      <c r="R673"/>
      <c r="S673"/>
      <c r="T673"/>
      <c r="U673"/>
      <c r="V673"/>
      <c r="Y673"/>
      <c r="Z673"/>
      <c r="AA673"/>
      <c r="AB673"/>
      <c r="AF673"/>
      <c r="AG673"/>
      <c r="AH673"/>
      <c r="AI673"/>
      <c r="AJ673"/>
      <c r="AK673"/>
      <c r="AN673"/>
      <c r="AO673"/>
      <c r="AP673"/>
      <c r="AQ673"/>
      <c r="AR673"/>
      <c r="AS673"/>
      <c r="AV673"/>
      <c r="AW673"/>
      <c r="AX673"/>
      <c r="AY673"/>
      <c r="AZ673"/>
      <c r="BA673"/>
    </row>
    <row r="674" spans="10:53" x14ac:dyDescent="0.25">
      <c r="J674"/>
      <c r="K674"/>
      <c r="L674"/>
      <c r="M674"/>
      <c r="O674"/>
      <c r="P674"/>
      <c r="Q674"/>
      <c r="R674"/>
      <c r="S674"/>
      <c r="T674"/>
      <c r="U674"/>
      <c r="V674"/>
      <c r="Y674"/>
      <c r="Z674"/>
      <c r="AA674"/>
      <c r="AB674"/>
      <c r="AF674"/>
      <c r="AG674"/>
      <c r="AH674"/>
      <c r="AI674"/>
      <c r="AJ674"/>
      <c r="AK674"/>
      <c r="AN674"/>
      <c r="AO674"/>
      <c r="AP674"/>
      <c r="AQ674"/>
      <c r="AR674"/>
      <c r="AS674"/>
      <c r="AV674"/>
      <c r="AW674"/>
      <c r="AX674"/>
      <c r="AY674"/>
      <c r="AZ674"/>
      <c r="BA674"/>
    </row>
    <row r="675" spans="10:53" x14ac:dyDescent="0.25">
      <c r="J675"/>
      <c r="K675"/>
      <c r="L675"/>
      <c r="M675"/>
      <c r="O675"/>
      <c r="P675"/>
      <c r="Q675"/>
      <c r="R675"/>
      <c r="S675"/>
      <c r="T675"/>
      <c r="U675"/>
      <c r="V675"/>
      <c r="Y675"/>
      <c r="Z675"/>
      <c r="AA675"/>
      <c r="AB675"/>
      <c r="AF675"/>
      <c r="AG675"/>
      <c r="AH675"/>
      <c r="AI675"/>
      <c r="AJ675"/>
      <c r="AK675"/>
      <c r="AN675"/>
      <c r="AO675"/>
      <c r="AP675"/>
      <c r="AQ675"/>
      <c r="AR675"/>
      <c r="AS675"/>
      <c r="AV675"/>
      <c r="AW675"/>
      <c r="AX675"/>
      <c r="AY675"/>
      <c r="AZ675"/>
      <c r="BA675"/>
    </row>
    <row r="676" spans="10:53" x14ac:dyDescent="0.25">
      <c r="J676"/>
      <c r="K676"/>
      <c r="L676"/>
      <c r="M676"/>
      <c r="O676"/>
      <c r="P676"/>
      <c r="Q676"/>
      <c r="R676"/>
      <c r="S676"/>
      <c r="T676"/>
      <c r="U676"/>
      <c r="V676"/>
      <c r="Y676"/>
      <c r="Z676"/>
      <c r="AA676"/>
      <c r="AB676"/>
      <c r="AF676"/>
      <c r="AG676"/>
      <c r="AH676"/>
      <c r="AI676"/>
      <c r="AJ676"/>
      <c r="AK676"/>
      <c r="AN676"/>
      <c r="AO676"/>
      <c r="AP676"/>
      <c r="AQ676"/>
      <c r="AR676"/>
      <c r="AS676"/>
      <c r="AV676"/>
      <c r="AW676"/>
      <c r="AX676"/>
      <c r="AY676"/>
      <c r="AZ676"/>
      <c r="BA676"/>
    </row>
    <row r="677" spans="10:53" x14ac:dyDescent="0.25">
      <c r="J677"/>
      <c r="K677"/>
      <c r="L677"/>
      <c r="M677"/>
      <c r="O677"/>
      <c r="P677"/>
      <c r="Q677"/>
      <c r="R677"/>
      <c r="S677"/>
      <c r="T677"/>
      <c r="U677"/>
      <c r="V677"/>
      <c r="Y677"/>
      <c r="Z677"/>
      <c r="AA677"/>
      <c r="AB677"/>
      <c r="AF677"/>
      <c r="AG677"/>
      <c r="AH677"/>
      <c r="AI677"/>
      <c r="AJ677"/>
      <c r="AK677"/>
      <c r="AN677"/>
      <c r="AO677"/>
      <c r="AP677"/>
      <c r="AQ677"/>
      <c r="AR677"/>
      <c r="AS677"/>
      <c r="AV677"/>
      <c r="AW677"/>
      <c r="AX677"/>
      <c r="AY677"/>
      <c r="AZ677"/>
      <c r="BA677"/>
    </row>
    <row r="678" spans="10:53" x14ac:dyDescent="0.25">
      <c r="J678"/>
      <c r="K678"/>
      <c r="L678"/>
      <c r="M678"/>
      <c r="O678"/>
      <c r="P678"/>
      <c r="Q678"/>
      <c r="R678"/>
      <c r="S678"/>
      <c r="T678"/>
      <c r="U678"/>
      <c r="V678"/>
      <c r="Y678"/>
      <c r="Z678"/>
      <c r="AA678"/>
      <c r="AB678"/>
      <c r="AF678"/>
      <c r="AG678"/>
      <c r="AH678"/>
      <c r="AI678"/>
      <c r="AJ678"/>
      <c r="AK678"/>
      <c r="AN678"/>
      <c r="AO678"/>
      <c r="AP678"/>
      <c r="AQ678"/>
      <c r="AR678"/>
      <c r="AS678"/>
      <c r="AV678"/>
      <c r="AW678"/>
      <c r="AX678"/>
      <c r="AY678"/>
      <c r="AZ678"/>
      <c r="BA678"/>
    </row>
    <row r="679" spans="10:53" x14ac:dyDescent="0.25">
      <c r="J679"/>
      <c r="K679"/>
      <c r="L679"/>
      <c r="M679"/>
      <c r="O679"/>
      <c r="P679"/>
      <c r="Q679"/>
      <c r="R679"/>
      <c r="S679"/>
      <c r="T679"/>
      <c r="U679"/>
      <c r="V679"/>
      <c r="Y679"/>
      <c r="Z679"/>
      <c r="AA679"/>
      <c r="AB679"/>
      <c r="AF679"/>
      <c r="AG679"/>
      <c r="AH679"/>
      <c r="AI679"/>
      <c r="AJ679"/>
      <c r="AK679"/>
      <c r="AN679"/>
      <c r="AO679"/>
      <c r="AP679"/>
      <c r="AQ679"/>
      <c r="AR679"/>
      <c r="AS679"/>
      <c r="AV679"/>
      <c r="AW679"/>
      <c r="AX679"/>
      <c r="AY679"/>
      <c r="AZ679"/>
      <c r="BA679"/>
    </row>
    <row r="680" spans="10:53" x14ac:dyDescent="0.25">
      <c r="J680"/>
      <c r="K680"/>
      <c r="L680"/>
      <c r="M680"/>
      <c r="O680"/>
      <c r="P680"/>
      <c r="Q680"/>
      <c r="R680"/>
      <c r="S680"/>
      <c r="T680"/>
      <c r="U680"/>
      <c r="V680"/>
      <c r="Y680"/>
      <c r="Z680"/>
      <c r="AA680"/>
      <c r="AB680"/>
      <c r="AF680"/>
      <c r="AG680"/>
      <c r="AH680"/>
      <c r="AI680"/>
      <c r="AJ680"/>
      <c r="AK680"/>
      <c r="AN680"/>
      <c r="AO680"/>
      <c r="AP680"/>
      <c r="AQ680"/>
      <c r="AR680"/>
      <c r="AS680"/>
      <c r="AV680"/>
      <c r="AW680"/>
      <c r="AX680"/>
      <c r="AY680"/>
      <c r="AZ680"/>
      <c r="BA680"/>
    </row>
    <row r="681" spans="10:53" x14ac:dyDescent="0.25">
      <c r="J681"/>
      <c r="K681"/>
      <c r="L681"/>
      <c r="M681"/>
      <c r="O681"/>
      <c r="P681"/>
      <c r="Q681"/>
      <c r="R681"/>
      <c r="S681"/>
      <c r="T681"/>
      <c r="U681"/>
      <c r="V681"/>
      <c r="Y681"/>
      <c r="Z681"/>
      <c r="AA681"/>
      <c r="AB681"/>
      <c r="AF681"/>
      <c r="AG681"/>
      <c r="AH681"/>
      <c r="AI681"/>
      <c r="AJ681"/>
      <c r="AK681"/>
      <c r="AN681"/>
      <c r="AO681"/>
      <c r="AP681"/>
      <c r="AQ681"/>
      <c r="AR681"/>
      <c r="AS681"/>
      <c r="AV681"/>
      <c r="AW681"/>
      <c r="AX681"/>
      <c r="AY681"/>
      <c r="AZ681"/>
      <c r="BA681"/>
    </row>
    <row r="682" spans="10:53" x14ac:dyDescent="0.25">
      <c r="J682"/>
      <c r="K682"/>
      <c r="L682"/>
      <c r="M682"/>
      <c r="O682"/>
      <c r="P682"/>
      <c r="Q682"/>
      <c r="R682"/>
      <c r="S682"/>
      <c r="T682"/>
      <c r="U682"/>
      <c r="V682"/>
      <c r="Y682"/>
      <c r="Z682"/>
      <c r="AA682"/>
      <c r="AB682"/>
      <c r="AF682"/>
      <c r="AG682"/>
      <c r="AH682"/>
      <c r="AI682"/>
      <c r="AJ682"/>
      <c r="AK682"/>
      <c r="AN682"/>
      <c r="AO682"/>
      <c r="AP682"/>
      <c r="AQ682"/>
      <c r="AR682"/>
      <c r="AS682"/>
      <c r="AV682"/>
      <c r="AW682"/>
      <c r="AX682"/>
      <c r="AY682"/>
      <c r="AZ682"/>
      <c r="BA682"/>
    </row>
    <row r="683" spans="10:53" x14ac:dyDescent="0.25">
      <c r="J683"/>
      <c r="K683"/>
      <c r="L683"/>
      <c r="M683"/>
      <c r="O683"/>
      <c r="P683"/>
      <c r="Q683"/>
      <c r="R683"/>
      <c r="S683"/>
      <c r="T683"/>
      <c r="U683"/>
      <c r="V683"/>
      <c r="Y683"/>
      <c r="Z683"/>
      <c r="AA683"/>
      <c r="AB683"/>
      <c r="AF683"/>
      <c r="AG683"/>
      <c r="AH683"/>
      <c r="AI683"/>
      <c r="AJ683"/>
      <c r="AK683"/>
      <c r="AN683"/>
      <c r="AO683"/>
      <c r="AP683"/>
      <c r="AQ683"/>
      <c r="AR683"/>
      <c r="AS683"/>
      <c r="AV683"/>
      <c r="AW683"/>
      <c r="AX683"/>
      <c r="AY683"/>
      <c r="AZ683"/>
      <c r="BA683"/>
    </row>
    <row r="684" spans="10:53" x14ac:dyDescent="0.25">
      <c r="J684"/>
      <c r="K684"/>
      <c r="L684"/>
      <c r="M684"/>
      <c r="O684"/>
      <c r="P684"/>
      <c r="Q684"/>
      <c r="R684"/>
      <c r="S684"/>
      <c r="T684"/>
      <c r="U684"/>
      <c r="V684"/>
      <c r="Y684"/>
      <c r="Z684"/>
      <c r="AA684"/>
      <c r="AB684"/>
      <c r="AF684"/>
      <c r="AG684"/>
      <c r="AH684"/>
      <c r="AI684"/>
      <c r="AJ684"/>
      <c r="AK684"/>
      <c r="AN684"/>
      <c r="AO684"/>
      <c r="AP684"/>
      <c r="AQ684"/>
      <c r="AR684"/>
      <c r="AS684"/>
      <c r="AV684"/>
      <c r="AW684"/>
      <c r="AX684"/>
      <c r="AY684"/>
      <c r="AZ684"/>
      <c r="BA684"/>
    </row>
    <row r="685" spans="10:53" x14ac:dyDescent="0.25">
      <c r="J685"/>
      <c r="K685"/>
      <c r="L685"/>
      <c r="M685"/>
      <c r="O685"/>
      <c r="P685"/>
      <c r="Q685"/>
      <c r="R685"/>
      <c r="S685"/>
      <c r="T685"/>
      <c r="U685"/>
      <c r="V685"/>
      <c r="Y685"/>
      <c r="Z685"/>
      <c r="AA685"/>
      <c r="AB685"/>
      <c r="AF685"/>
      <c r="AG685"/>
      <c r="AH685"/>
      <c r="AI685"/>
      <c r="AJ685"/>
      <c r="AK685"/>
      <c r="AN685"/>
      <c r="AO685"/>
      <c r="AP685"/>
      <c r="AQ685"/>
      <c r="AR685"/>
      <c r="AS685"/>
      <c r="AV685"/>
      <c r="AW685"/>
      <c r="AX685"/>
      <c r="AY685"/>
      <c r="AZ685"/>
      <c r="BA685"/>
    </row>
    <row r="686" spans="10:53" x14ac:dyDescent="0.25">
      <c r="J686"/>
      <c r="K686"/>
      <c r="L686"/>
      <c r="M686"/>
      <c r="O686"/>
      <c r="P686"/>
      <c r="Q686"/>
      <c r="R686"/>
      <c r="S686"/>
      <c r="T686"/>
      <c r="U686"/>
      <c r="V686"/>
      <c r="Y686"/>
      <c r="Z686"/>
      <c r="AA686"/>
      <c r="AB686"/>
      <c r="AF686"/>
      <c r="AG686"/>
      <c r="AH686"/>
      <c r="AI686"/>
      <c r="AJ686"/>
      <c r="AK686"/>
      <c r="AN686"/>
      <c r="AO686"/>
      <c r="AP686"/>
      <c r="AQ686"/>
      <c r="AR686"/>
      <c r="AS686"/>
      <c r="AV686"/>
      <c r="AW686"/>
      <c r="AX686"/>
      <c r="AY686"/>
      <c r="AZ686"/>
      <c r="BA686"/>
    </row>
    <row r="687" spans="10:53" x14ac:dyDescent="0.25">
      <c r="J687"/>
      <c r="K687"/>
      <c r="L687"/>
      <c r="M687"/>
      <c r="O687"/>
      <c r="P687"/>
      <c r="Q687"/>
      <c r="R687"/>
      <c r="S687"/>
      <c r="T687"/>
      <c r="U687"/>
      <c r="V687"/>
      <c r="Y687"/>
      <c r="Z687"/>
      <c r="AA687"/>
      <c r="AB687"/>
      <c r="AF687"/>
      <c r="AG687"/>
      <c r="AH687"/>
      <c r="AI687"/>
      <c r="AJ687"/>
      <c r="AK687"/>
      <c r="AN687"/>
      <c r="AO687"/>
      <c r="AP687"/>
      <c r="AQ687"/>
      <c r="AR687"/>
      <c r="AS687"/>
      <c r="AV687"/>
      <c r="AW687"/>
      <c r="AX687"/>
      <c r="AY687"/>
      <c r="AZ687"/>
      <c r="BA687"/>
    </row>
    <row r="688" spans="10:53" x14ac:dyDescent="0.25">
      <c r="J688"/>
      <c r="K688"/>
      <c r="L688"/>
      <c r="M688"/>
      <c r="O688"/>
      <c r="P688"/>
      <c r="Q688"/>
      <c r="R688"/>
      <c r="S688"/>
      <c r="T688"/>
      <c r="U688"/>
      <c r="V688"/>
      <c r="Y688"/>
      <c r="Z688"/>
      <c r="AA688"/>
      <c r="AB688"/>
      <c r="AF688"/>
      <c r="AG688"/>
      <c r="AH688"/>
      <c r="AI688"/>
      <c r="AJ688"/>
      <c r="AK688"/>
      <c r="AN688"/>
      <c r="AO688"/>
      <c r="AP688"/>
      <c r="AQ688"/>
      <c r="AR688"/>
      <c r="AS688"/>
      <c r="AV688"/>
      <c r="AW688"/>
      <c r="AX688"/>
      <c r="AY688"/>
      <c r="AZ688"/>
      <c r="BA688"/>
    </row>
    <row r="689" spans="10:53" x14ac:dyDescent="0.25">
      <c r="J689"/>
      <c r="K689"/>
      <c r="L689"/>
      <c r="M689"/>
      <c r="O689"/>
      <c r="P689"/>
      <c r="Q689"/>
      <c r="R689"/>
      <c r="S689"/>
      <c r="T689"/>
      <c r="U689"/>
      <c r="V689"/>
      <c r="Y689"/>
      <c r="Z689"/>
      <c r="AA689"/>
      <c r="AB689"/>
      <c r="AF689"/>
      <c r="AG689"/>
      <c r="AH689"/>
      <c r="AI689"/>
      <c r="AJ689"/>
      <c r="AK689"/>
      <c r="AN689"/>
      <c r="AO689"/>
      <c r="AP689"/>
      <c r="AQ689"/>
      <c r="AR689"/>
      <c r="AS689"/>
      <c r="AV689"/>
      <c r="AW689"/>
      <c r="AX689"/>
      <c r="AY689"/>
      <c r="AZ689"/>
      <c r="BA689"/>
    </row>
    <row r="690" spans="10:53" x14ac:dyDescent="0.25">
      <c r="J690"/>
      <c r="K690"/>
      <c r="L690"/>
      <c r="M690"/>
      <c r="O690"/>
      <c r="P690"/>
      <c r="Q690"/>
      <c r="R690"/>
      <c r="S690"/>
      <c r="T690"/>
      <c r="U690"/>
      <c r="V690"/>
      <c r="Y690"/>
      <c r="Z690"/>
      <c r="AA690"/>
      <c r="AB690"/>
      <c r="AF690"/>
      <c r="AG690"/>
      <c r="AH690"/>
      <c r="AI690"/>
      <c r="AJ690"/>
      <c r="AK690"/>
      <c r="AN690"/>
      <c r="AO690"/>
      <c r="AP690"/>
      <c r="AQ690"/>
      <c r="AR690"/>
      <c r="AS690"/>
      <c r="AV690"/>
      <c r="AW690"/>
      <c r="AX690"/>
      <c r="AY690"/>
      <c r="AZ690"/>
      <c r="BA690"/>
    </row>
    <row r="691" spans="10:53" x14ac:dyDescent="0.25">
      <c r="J691"/>
      <c r="K691"/>
      <c r="L691"/>
      <c r="M691"/>
      <c r="O691"/>
      <c r="P691"/>
      <c r="Q691"/>
      <c r="R691"/>
      <c r="S691"/>
      <c r="T691"/>
      <c r="U691"/>
      <c r="V691"/>
      <c r="Y691"/>
      <c r="Z691"/>
      <c r="AA691"/>
      <c r="AB691"/>
      <c r="AF691"/>
      <c r="AG691"/>
      <c r="AH691"/>
      <c r="AI691"/>
      <c r="AJ691"/>
      <c r="AK691"/>
      <c r="AN691"/>
      <c r="AO691"/>
      <c r="AP691"/>
      <c r="AQ691"/>
      <c r="AR691"/>
      <c r="AS691"/>
      <c r="AV691"/>
      <c r="AW691"/>
      <c r="AX691"/>
      <c r="AY691"/>
      <c r="AZ691"/>
      <c r="BA691"/>
    </row>
    <row r="692" spans="10:53" x14ac:dyDescent="0.25">
      <c r="J692"/>
      <c r="K692"/>
      <c r="L692"/>
      <c r="M692"/>
      <c r="O692"/>
      <c r="P692"/>
      <c r="Q692"/>
      <c r="R692"/>
      <c r="S692"/>
      <c r="T692"/>
      <c r="U692"/>
      <c r="V692"/>
      <c r="Y692"/>
      <c r="Z692"/>
      <c r="AA692"/>
      <c r="AB692"/>
      <c r="AF692"/>
      <c r="AG692"/>
      <c r="AH692"/>
      <c r="AI692"/>
      <c r="AJ692"/>
      <c r="AK692"/>
      <c r="AN692"/>
      <c r="AO692"/>
      <c r="AP692"/>
      <c r="AQ692"/>
      <c r="AR692"/>
      <c r="AS692"/>
      <c r="AV692"/>
      <c r="AW692"/>
      <c r="AX692"/>
      <c r="AY692"/>
      <c r="AZ692"/>
      <c r="BA692"/>
    </row>
    <row r="693" spans="10:53" x14ac:dyDescent="0.25">
      <c r="J693"/>
      <c r="K693"/>
      <c r="L693"/>
      <c r="M693"/>
      <c r="O693"/>
      <c r="P693"/>
      <c r="Q693"/>
      <c r="R693"/>
      <c r="S693"/>
      <c r="T693"/>
      <c r="U693"/>
      <c r="V693"/>
      <c r="Y693"/>
      <c r="Z693"/>
      <c r="AA693"/>
      <c r="AB693"/>
      <c r="AF693"/>
      <c r="AG693"/>
      <c r="AH693"/>
      <c r="AI693"/>
      <c r="AJ693"/>
      <c r="AK693"/>
      <c r="AN693"/>
      <c r="AO693"/>
      <c r="AP693"/>
      <c r="AQ693"/>
      <c r="AR693"/>
      <c r="AS693"/>
      <c r="AV693"/>
      <c r="AW693"/>
      <c r="AX693"/>
      <c r="AY693"/>
      <c r="AZ693"/>
      <c r="BA693"/>
    </row>
    <row r="694" spans="10:53" x14ac:dyDescent="0.25">
      <c r="J694"/>
      <c r="K694"/>
      <c r="L694"/>
      <c r="M694"/>
      <c r="O694"/>
      <c r="P694"/>
      <c r="Q694"/>
      <c r="R694"/>
      <c r="S694"/>
      <c r="T694"/>
      <c r="U694"/>
      <c r="V694"/>
      <c r="Y694"/>
      <c r="Z694"/>
      <c r="AA694"/>
      <c r="AB694"/>
      <c r="AF694"/>
      <c r="AG694"/>
      <c r="AH694"/>
      <c r="AI694"/>
      <c r="AJ694"/>
      <c r="AK694"/>
      <c r="AN694"/>
      <c r="AO694"/>
      <c r="AP694"/>
      <c r="AQ694"/>
      <c r="AR694"/>
      <c r="AS694"/>
      <c r="AV694"/>
      <c r="AW694"/>
      <c r="AX694"/>
      <c r="AY694"/>
      <c r="AZ694"/>
      <c r="BA694"/>
    </row>
    <row r="695" spans="10:53" x14ac:dyDescent="0.25">
      <c r="O695"/>
      <c r="P695"/>
      <c r="Q695"/>
      <c r="R695"/>
      <c r="S695"/>
      <c r="T695"/>
      <c r="U695"/>
      <c r="V695"/>
      <c r="AF695"/>
      <c r="AG695"/>
      <c r="AH695"/>
      <c r="AI695"/>
      <c r="AJ695"/>
      <c r="AK695"/>
      <c r="AN695"/>
      <c r="AO695"/>
      <c r="AP695"/>
      <c r="AQ695"/>
      <c r="AR695"/>
      <c r="AS695"/>
      <c r="AV695"/>
      <c r="AW695"/>
      <c r="AX695"/>
      <c r="AY695"/>
      <c r="AZ695"/>
      <c r="BA695"/>
    </row>
    <row r="696" spans="10:53" x14ac:dyDescent="0.25">
      <c r="O696"/>
      <c r="P696"/>
      <c r="Q696"/>
      <c r="R696"/>
      <c r="S696"/>
      <c r="T696"/>
      <c r="U696"/>
      <c r="V696"/>
      <c r="AF696"/>
      <c r="AG696"/>
      <c r="AH696"/>
      <c r="AI696"/>
      <c r="AJ696"/>
      <c r="AK696"/>
      <c r="AN696"/>
      <c r="AO696"/>
      <c r="AP696"/>
      <c r="AQ696"/>
      <c r="AR696"/>
      <c r="AS696"/>
      <c r="AV696"/>
      <c r="AW696"/>
      <c r="AX696"/>
      <c r="AY696"/>
      <c r="AZ696"/>
      <c r="BA696"/>
    </row>
    <row r="697" spans="10:53" x14ac:dyDescent="0.25">
      <c r="O697"/>
      <c r="P697"/>
      <c r="Q697"/>
      <c r="R697"/>
      <c r="S697"/>
      <c r="T697"/>
      <c r="U697"/>
      <c r="V697"/>
      <c r="AF697"/>
      <c r="AG697"/>
      <c r="AH697"/>
      <c r="AI697"/>
      <c r="AJ697"/>
      <c r="AK697"/>
      <c r="AN697"/>
      <c r="AO697"/>
      <c r="AP697"/>
      <c r="AQ697"/>
      <c r="AR697"/>
      <c r="AS697"/>
      <c r="AV697"/>
      <c r="AW697"/>
      <c r="AX697"/>
      <c r="AY697"/>
      <c r="AZ697"/>
      <c r="BA697"/>
    </row>
    <row r="698" spans="10:53" x14ac:dyDescent="0.25">
      <c r="O698"/>
      <c r="P698"/>
      <c r="Q698"/>
      <c r="R698"/>
      <c r="S698"/>
      <c r="T698"/>
      <c r="U698"/>
      <c r="V698"/>
      <c r="AF698"/>
      <c r="AG698"/>
      <c r="AH698"/>
      <c r="AI698"/>
      <c r="AJ698"/>
      <c r="AK698"/>
      <c r="AN698"/>
      <c r="AO698"/>
      <c r="AP698"/>
      <c r="AQ698"/>
      <c r="AR698"/>
      <c r="AS698"/>
      <c r="AV698"/>
      <c r="AW698"/>
      <c r="AX698"/>
      <c r="AY698"/>
      <c r="AZ698"/>
      <c r="BA698"/>
    </row>
    <row r="699" spans="10:53" x14ac:dyDescent="0.25">
      <c r="O699"/>
      <c r="P699"/>
      <c r="Q699"/>
      <c r="R699"/>
      <c r="S699"/>
      <c r="T699"/>
      <c r="U699"/>
      <c r="V699"/>
      <c r="AF699"/>
      <c r="AG699"/>
      <c r="AH699"/>
      <c r="AI699"/>
      <c r="AJ699"/>
      <c r="AK699"/>
      <c r="AN699"/>
      <c r="AO699"/>
      <c r="AP699"/>
      <c r="AQ699"/>
      <c r="AR699"/>
      <c r="AS699"/>
      <c r="AV699"/>
      <c r="AW699"/>
      <c r="AX699"/>
      <c r="AY699"/>
      <c r="AZ699"/>
      <c r="BA699"/>
    </row>
    <row r="700" spans="10:53" x14ac:dyDescent="0.25">
      <c r="O700"/>
      <c r="P700"/>
      <c r="Q700"/>
      <c r="R700"/>
      <c r="S700"/>
      <c r="T700"/>
      <c r="U700"/>
      <c r="V700"/>
      <c r="AF700"/>
      <c r="AG700"/>
      <c r="AH700"/>
      <c r="AI700"/>
      <c r="AJ700"/>
      <c r="AK700"/>
      <c r="AN700"/>
      <c r="AO700"/>
      <c r="AP700"/>
      <c r="AQ700"/>
      <c r="AR700"/>
      <c r="AS700"/>
      <c r="AV700"/>
      <c r="AW700"/>
      <c r="AX700"/>
      <c r="AY700"/>
      <c r="AZ700"/>
      <c r="BA700"/>
    </row>
    <row r="701" spans="10:53" x14ac:dyDescent="0.25">
      <c r="O701"/>
      <c r="P701"/>
      <c r="Q701"/>
      <c r="R701"/>
      <c r="S701"/>
      <c r="T701"/>
      <c r="U701"/>
      <c r="V701"/>
      <c r="AF701"/>
      <c r="AG701"/>
      <c r="AH701"/>
      <c r="AI701"/>
      <c r="AJ701"/>
      <c r="AK701"/>
      <c r="AN701"/>
      <c r="AO701"/>
      <c r="AP701"/>
      <c r="AQ701"/>
      <c r="AR701"/>
      <c r="AS701"/>
      <c r="AV701"/>
      <c r="AW701"/>
      <c r="AX701"/>
      <c r="AY701"/>
      <c r="AZ701"/>
      <c r="BA701"/>
    </row>
    <row r="702" spans="10:53" x14ac:dyDescent="0.25">
      <c r="O702"/>
      <c r="P702"/>
      <c r="Q702"/>
      <c r="R702"/>
      <c r="S702"/>
      <c r="T702"/>
      <c r="U702"/>
      <c r="V702"/>
      <c r="AF702"/>
      <c r="AG702"/>
      <c r="AH702"/>
      <c r="AI702"/>
      <c r="AJ702"/>
      <c r="AK702"/>
      <c r="AN702"/>
      <c r="AO702"/>
      <c r="AP702"/>
      <c r="AQ702"/>
      <c r="AR702"/>
      <c r="AS702"/>
      <c r="AV702"/>
      <c r="AW702"/>
      <c r="AX702"/>
      <c r="AY702"/>
      <c r="AZ702"/>
      <c r="BA702"/>
    </row>
    <row r="703" spans="10:53" x14ac:dyDescent="0.25">
      <c r="O703"/>
      <c r="P703"/>
      <c r="Q703"/>
      <c r="R703"/>
      <c r="S703"/>
      <c r="T703"/>
      <c r="U703"/>
      <c r="V703"/>
      <c r="AF703"/>
      <c r="AG703"/>
      <c r="AH703"/>
      <c r="AI703"/>
      <c r="AJ703"/>
      <c r="AK703"/>
      <c r="AN703"/>
      <c r="AO703"/>
      <c r="AP703"/>
      <c r="AQ703"/>
      <c r="AR703"/>
      <c r="AS703"/>
      <c r="AV703"/>
      <c r="AW703"/>
      <c r="AX703"/>
      <c r="AY703"/>
      <c r="AZ703"/>
      <c r="BA703"/>
    </row>
    <row r="704" spans="10:53" x14ac:dyDescent="0.25">
      <c r="O704"/>
      <c r="P704"/>
      <c r="Q704"/>
      <c r="R704"/>
      <c r="S704"/>
      <c r="T704"/>
      <c r="U704"/>
      <c r="V704"/>
      <c r="AF704"/>
      <c r="AG704"/>
      <c r="AH704"/>
      <c r="AI704"/>
      <c r="AJ704"/>
      <c r="AK704"/>
      <c r="AN704"/>
      <c r="AO704"/>
      <c r="AP704"/>
      <c r="AQ704"/>
      <c r="AR704"/>
      <c r="AS704"/>
      <c r="AV704"/>
      <c r="AW704"/>
      <c r="AX704"/>
      <c r="AY704"/>
      <c r="AZ704"/>
      <c r="BA704"/>
    </row>
    <row r="705" spans="15:53" x14ac:dyDescent="0.25">
      <c r="O705"/>
      <c r="P705"/>
      <c r="Q705"/>
      <c r="R705"/>
      <c r="S705"/>
      <c r="T705"/>
      <c r="U705"/>
      <c r="V705"/>
      <c r="AF705"/>
      <c r="AG705"/>
      <c r="AH705"/>
      <c r="AI705"/>
      <c r="AJ705"/>
      <c r="AK705"/>
      <c r="AN705"/>
      <c r="AO705"/>
      <c r="AP705"/>
      <c r="AQ705"/>
      <c r="AR705"/>
      <c r="AS705"/>
      <c r="AV705"/>
      <c r="AW705"/>
      <c r="AX705"/>
      <c r="AY705"/>
      <c r="AZ705"/>
      <c r="BA705"/>
    </row>
    <row r="706" spans="15:53" x14ac:dyDescent="0.25">
      <c r="O706"/>
      <c r="P706"/>
      <c r="Q706"/>
      <c r="R706"/>
      <c r="S706"/>
      <c r="T706"/>
      <c r="U706"/>
      <c r="V706"/>
      <c r="AF706"/>
      <c r="AG706"/>
      <c r="AH706"/>
      <c r="AI706"/>
      <c r="AJ706"/>
      <c r="AK706"/>
      <c r="AN706"/>
      <c r="AO706"/>
      <c r="AP706"/>
      <c r="AQ706"/>
      <c r="AR706"/>
      <c r="AS706"/>
      <c r="AV706"/>
      <c r="AW706"/>
      <c r="AX706"/>
      <c r="AY706"/>
      <c r="AZ706"/>
      <c r="BA706"/>
    </row>
    <row r="707" spans="15:53" x14ac:dyDescent="0.25">
      <c r="O707"/>
      <c r="P707"/>
      <c r="Q707"/>
      <c r="R707"/>
      <c r="S707"/>
      <c r="T707"/>
      <c r="U707"/>
      <c r="V707"/>
      <c r="AF707"/>
      <c r="AG707"/>
      <c r="AH707"/>
      <c r="AI707"/>
      <c r="AJ707"/>
      <c r="AK707"/>
      <c r="AN707"/>
      <c r="AO707"/>
      <c r="AP707"/>
      <c r="AQ707"/>
      <c r="AR707"/>
      <c r="AS707"/>
      <c r="AV707"/>
      <c r="AW707"/>
      <c r="AX707"/>
      <c r="AY707"/>
      <c r="AZ707"/>
      <c r="BA707"/>
    </row>
    <row r="708" spans="15:53" x14ac:dyDescent="0.25">
      <c r="O708"/>
      <c r="P708"/>
      <c r="Q708"/>
      <c r="R708"/>
      <c r="S708"/>
      <c r="T708"/>
      <c r="U708"/>
      <c r="V708"/>
      <c r="AF708"/>
      <c r="AG708"/>
      <c r="AH708"/>
      <c r="AI708"/>
      <c r="AJ708"/>
      <c r="AK708"/>
      <c r="AN708"/>
      <c r="AO708"/>
      <c r="AP708"/>
      <c r="AQ708"/>
      <c r="AR708"/>
      <c r="AS708"/>
      <c r="AV708"/>
      <c r="AW708"/>
      <c r="AX708"/>
      <c r="AY708"/>
      <c r="AZ708"/>
      <c r="BA708"/>
    </row>
    <row r="709" spans="15:53" x14ac:dyDescent="0.25">
      <c r="O709"/>
      <c r="P709"/>
      <c r="Q709"/>
      <c r="R709"/>
      <c r="S709"/>
      <c r="T709"/>
      <c r="U709"/>
      <c r="V709"/>
      <c r="AF709"/>
      <c r="AG709"/>
      <c r="AH709"/>
      <c r="AI709"/>
      <c r="AJ709"/>
      <c r="AK709"/>
      <c r="AN709"/>
      <c r="AO709"/>
      <c r="AP709"/>
      <c r="AQ709"/>
      <c r="AR709"/>
      <c r="AS709"/>
      <c r="AV709"/>
      <c r="AW709"/>
      <c r="AX709"/>
      <c r="AY709"/>
      <c r="AZ709"/>
      <c r="BA709"/>
    </row>
    <row r="710" spans="15:53" x14ac:dyDescent="0.25">
      <c r="O710"/>
      <c r="P710"/>
      <c r="Q710"/>
      <c r="R710"/>
      <c r="S710"/>
      <c r="T710"/>
      <c r="U710"/>
      <c r="V710"/>
      <c r="AF710"/>
      <c r="AG710"/>
      <c r="AH710"/>
      <c r="AI710"/>
      <c r="AJ710"/>
      <c r="AK710"/>
      <c r="AN710"/>
      <c r="AO710"/>
      <c r="AP710"/>
      <c r="AQ710"/>
      <c r="AR710"/>
      <c r="AS710"/>
      <c r="AV710"/>
      <c r="AW710"/>
      <c r="AX710"/>
      <c r="AY710"/>
      <c r="AZ710"/>
      <c r="BA710"/>
    </row>
    <row r="711" spans="15:53" x14ac:dyDescent="0.25">
      <c r="O711"/>
      <c r="P711"/>
      <c r="Q711"/>
      <c r="R711"/>
      <c r="S711"/>
      <c r="T711"/>
      <c r="U711"/>
      <c r="V711"/>
      <c r="AF711"/>
      <c r="AG711"/>
      <c r="AH711"/>
      <c r="AI711"/>
      <c r="AJ711"/>
      <c r="AK711"/>
      <c r="AN711"/>
      <c r="AO711"/>
      <c r="AP711"/>
      <c r="AQ711"/>
      <c r="AR711"/>
      <c r="AS711"/>
      <c r="AV711"/>
      <c r="AW711"/>
      <c r="AX711"/>
      <c r="AY711"/>
      <c r="AZ711"/>
      <c r="BA711"/>
    </row>
    <row r="712" spans="15:53" x14ac:dyDescent="0.25">
      <c r="O712"/>
      <c r="P712"/>
      <c r="Q712"/>
      <c r="R712"/>
      <c r="S712"/>
      <c r="T712"/>
      <c r="U712"/>
      <c r="V712"/>
      <c r="AF712"/>
      <c r="AG712"/>
      <c r="AH712"/>
      <c r="AI712"/>
      <c r="AJ712"/>
      <c r="AK712"/>
      <c r="AN712"/>
      <c r="AO712"/>
      <c r="AP712"/>
      <c r="AQ712"/>
      <c r="AR712"/>
      <c r="AS712"/>
      <c r="AV712"/>
      <c r="AW712"/>
      <c r="AX712"/>
      <c r="AY712"/>
      <c r="AZ712"/>
      <c r="BA712"/>
    </row>
    <row r="713" spans="15:53" x14ac:dyDescent="0.25">
      <c r="O713"/>
      <c r="P713"/>
      <c r="Q713"/>
      <c r="R713"/>
      <c r="S713"/>
      <c r="T713"/>
      <c r="U713"/>
      <c r="V713"/>
      <c r="AF713"/>
      <c r="AG713"/>
      <c r="AH713"/>
      <c r="AI713"/>
      <c r="AJ713"/>
      <c r="AK713"/>
      <c r="AN713"/>
      <c r="AO713"/>
      <c r="AP713"/>
      <c r="AQ713"/>
      <c r="AR713"/>
      <c r="AS713"/>
      <c r="AV713"/>
      <c r="AW713"/>
      <c r="AX713"/>
      <c r="AY713"/>
      <c r="AZ713"/>
      <c r="BA713"/>
    </row>
    <row r="714" spans="15:53" x14ac:dyDescent="0.25">
      <c r="O714"/>
      <c r="P714"/>
      <c r="Q714"/>
      <c r="R714"/>
      <c r="S714"/>
      <c r="T714"/>
      <c r="U714"/>
      <c r="V714"/>
      <c r="AF714"/>
      <c r="AG714"/>
      <c r="AH714"/>
      <c r="AI714"/>
      <c r="AJ714"/>
      <c r="AK714"/>
      <c r="AN714"/>
      <c r="AO714"/>
      <c r="AP714"/>
      <c r="AQ714"/>
      <c r="AR714"/>
      <c r="AS714"/>
      <c r="AV714"/>
      <c r="AW714"/>
      <c r="AX714"/>
      <c r="AY714"/>
      <c r="AZ714"/>
      <c r="BA714"/>
    </row>
    <row r="715" spans="15:53" x14ac:dyDescent="0.25">
      <c r="O715"/>
      <c r="P715"/>
      <c r="Q715"/>
      <c r="R715"/>
      <c r="S715"/>
      <c r="T715"/>
      <c r="U715"/>
      <c r="V715"/>
      <c r="AF715"/>
      <c r="AG715"/>
      <c r="AH715"/>
      <c r="AI715"/>
      <c r="AJ715"/>
      <c r="AK715"/>
      <c r="AN715"/>
      <c r="AO715"/>
      <c r="AP715"/>
      <c r="AQ715"/>
      <c r="AR715"/>
      <c r="AS715"/>
      <c r="AV715"/>
      <c r="AW715"/>
      <c r="AX715"/>
      <c r="AY715"/>
      <c r="AZ715"/>
      <c r="BA715"/>
    </row>
    <row r="716" spans="15:53" x14ac:dyDescent="0.25">
      <c r="O716"/>
      <c r="P716"/>
      <c r="Q716"/>
      <c r="R716"/>
      <c r="S716"/>
      <c r="T716"/>
      <c r="U716"/>
      <c r="V716"/>
      <c r="AF716"/>
      <c r="AG716"/>
      <c r="AH716"/>
      <c r="AI716"/>
      <c r="AJ716"/>
      <c r="AK716"/>
      <c r="AN716"/>
      <c r="AO716"/>
      <c r="AP716"/>
      <c r="AQ716"/>
      <c r="AR716"/>
      <c r="AS716"/>
      <c r="AV716"/>
      <c r="AW716"/>
      <c r="AX716"/>
      <c r="AY716"/>
      <c r="AZ716"/>
      <c r="BA716"/>
    </row>
    <row r="717" spans="15:53" x14ac:dyDescent="0.25">
      <c r="O717"/>
      <c r="P717"/>
      <c r="Q717"/>
      <c r="R717"/>
      <c r="S717"/>
      <c r="T717"/>
      <c r="U717"/>
      <c r="V717"/>
      <c r="AF717"/>
      <c r="AG717"/>
      <c r="AH717"/>
      <c r="AI717"/>
      <c r="AJ717"/>
      <c r="AK717"/>
      <c r="AN717"/>
      <c r="AO717"/>
      <c r="AP717"/>
      <c r="AQ717"/>
      <c r="AR717"/>
      <c r="AS717"/>
      <c r="AV717"/>
      <c r="AW717"/>
      <c r="AX717"/>
      <c r="AY717"/>
      <c r="AZ717"/>
      <c r="BA717"/>
    </row>
    <row r="718" spans="15:53" x14ac:dyDescent="0.25">
      <c r="O718"/>
      <c r="P718"/>
      <c r="Q718"/>
      <c r="R718"/>
      <c r="S718"/>
      <c r="T718"/>
      <c r="U718"/>
      <c r="V718"/>
      <c r="AF718"/>
      <c r="AG718"/>
      <c r="AH718"/>
      <c r="AI718"/>
      <c r="AJ718"/>
      <c r="AK718"/>
      <c r="AN718"/>
      <c r="AO718"/>
      <c r="AP718"/>
      <c r="AQ718"/>
      <c r="AR718"/>
      <c r="AS718"/>
      <c r="AV718"/>
      <c r="AW718"/>
      <c r="AX718"/>
      <c r="AY718"/>
      <c r="AZ718"/>
      <c r="BA718"/>
    </row>
    <row r="719" spans="15:53" x14ac:dyDescent="0.25">
      <c r="O719"/>
      <c r="P719"/>
      <c r="Q719"/>
      <c r="R719"/>
      <c r="S719"/>
      <c r="T719"/>
      <c r="U719"/>
      <c r="V719"/>
      <c r="AF719"/>
      <c r="AG719"/>
      <c r="AH719"/>
      <c r="AI719"/>
      <c r="AJ719"/>
      <c r="AK719"/>
      <c r="AN719"/>
      <c r="AO719"/>
      <c r="AP719"/>
      <c r="AQ719"/>
      <c r="AR719"/>
      <c r="AS719"/>
      <c r="AV719"/>
      <c r="AW719"/>
      <c r="AX719"/>
      <c r="AY719"/>
      <c r="AZ719"/>
      <c r="BA719"/>
    </row>
    <row r="720" spans="15:53" x14ac:dyDescent="0.25">
      <c r="O720"/>
      <c r="P720"/>
      <c r="Q720"/>
      <c r="R720"/>
      <c r="S720"/>
      <c r="T720"/>
      <c r="U720"/>
      <c r="V720"/>
      <c r="AF720"/>
      <c r="AG720"/>
      <c r="AH720"/>
      <c r="AI720"/>
      <c r="AJ720"/>
      <c r="AK720"/>
      <c r="AN720"/>
      <c r="AO720"/>
      <c r="AP720"/>
      <c r="AQ720"/>
      <c r="AR720"/>
      <c r="AS720"/>
      <c r="AV720"/>
      <c r="AW720"/>
      <c r="AX720"/>
      <c r="AY720"/>
      <c r="AZ720"/>
      <c r="BA720"/>
    </row>
    <row r="721" spans="15:53" x14ac:dyDescent="0.25">
      <c r="O721"/>
      <c r="P721"/>
      <c r="Q721"/>
      <c r="R721"/>
      <c r="S721"/>
      <c r="T721"/>
      <c r="U721"/>
      <c r="V721"/>
      <c r="AF721"/>
      <c r="AG721"/>
      <c r="AH721"/>
      <c r="AI721"/>
      <c r="AJ721"/>
      <c r="AK721"/>
      <c r="AN721"/>
      <c r="AO721"/>
      <c r="AP721"/>
      <c r="AQ721"/>
      <c r="AR721"/>
      <c r="AS721"/>
      <c r="AV721"/>
      <c r="AW721"/>
      <c r="AX721"/>
      <c r="AY721"/>
      <c r="AZ721"/>
      <c r="BA721"/>
    </row>
    <row r="722" spans="15:53" x14ac:dyDescent="0.25">
      <c r="O722"/>
      <c r="P722"/>
      <c r="Q722"/>
      <c r="R722"/>
      <c r="S722"/>
      <c r="T722"/>
      <c r="U722"/>
      <c r="V722"/>
      <c r="AF722"/>
      <c r="AG722"/>
      <c r="AH722"/>
      <c r="AI722"/>
      <c r="AJ722"/>
      <c r="AK722"/>
      <c r="AN722"/>
      <c r="AO722"/>
      <c r="AP722"/>
      <c r="AQ722"/>
      <c r="AR722"/>
      <c r="AS722"/>
      <c r="AV722"/>
      <c r="AW722"/>
      <c r="AX722"/>
      <c r="AY722"/>
      <c r="AZ722"/>
      <c r="BA722"/>
    </row>
    <row r="723" spans="15:53" x14ac:dyDescent="0.25">
      <c r="O723"/>
      <c r="P723"/>
      <c r="Q723"/>
      <c r="R723"/>
      <c r="S723"/>
      <c r="T723"/>
      <c r="U723"/>
      <c r="V723"/>
      <c r="AF723"/>
      <c r="AG723"/>
      <c r="AH723"/>
      <c r="AI723"/>
      <c r="AJ723"/>
      <c r="AK723"/>
      <c r="AN723"/>
      <c r="AO723"/>
      <c r="AP723"/>
      <c r="AQ723"/>
      <c r="AR723"/>
      <c r="AS723"/>
      <c r="AV723"/>
      <c r="AW723"/>
      <c r="AX723"/>
      <c r="AY723"/>
      <c r="AZ723"/>
      <c r="BA723"/>
    </row>
    <row r="724" spans="15:53" x14ac:dyDescent="0.25">
      <c r="O724"/>
      <c r="P724"/>
      <c r="Q724"/>
      <c r="R724"/>
      <c r="S724"/>
      <c r="T724"/>
      <c r="U724"/>
      <c r="V724"/>
      <c r="AF724"/>
      <c r="AG724"/>
      <c r="AH724"/>
      <c r="AI724"/>
      <c r="AJ724"/>
      <c r="AK724"/>
      <c r="AN724"/>
      <c r="AO724"/>
      <c r="AP724"/>
      <c r="AQ724"/>
      <c r="AR724"/>
      <c r="AS724"/>
      <c r="AV724"/>
      <c r="AW724"/>
      <c r="AX724"/>
      <c r="AY724"/>
      <c r="AZ724"/>
      <c r="BA724"/>
    </row>
    <row r="725" spans="15:53" x14ac:dyDescent="0.25">
      <c r="O725"/>
      <c r="P725"/>
      <c r="Q725"/>
      <c r="R725"/>
      <c r="S725"/>
      <c r="T725"/>
      <c r="U725"/>
      <c r="V725"/>
      <c r="AF725"/>
      <c r="AG725"/>
      <c r="AH725"/>
      <c r="AI725"/>
      <c r="AJ725"/>
      <c r="AK725"/>
      <c r="AN725"/>
      <c r="AO725"/>
      <c r="AP725"/>
      <c r="AQ725"/>
      <c r="AR725"/>
      <c r="AS725"/>
      <c r="AV725"/>
      <c r="AW725"/>
      <c r="AX725"/>
      <c r="AY725"/>
      <c r="AZ725"/>
      <c r="BA725"/>
    </row>
    <row r="726" spans="15:53" x14ac:dyDescent="0.25">
      <c r="O726"/>
      <c r="P726"/>
      <c r="Q726"/>
      <c r="R726"/>
      <c r="S726"/>
      <c r="T726"/>
      <c r="U726"/>
      <c r="V726"/>
      <c r="AF726"/>
      <c r="AG726"/>
      <c r="AH726"/>
      <c r="AI726"/>
      <c r="AJ726"/>
      <c r="AK726"/>
      <c r="AN726"/>
      <c r="AO726"/>
      <c r="AP726"/>
      <c r="AQ726"/>
      <c r="AR726"/>
      <c r="AS726"/>
      <c r="AV726"/>
      <c r="AW726"/>
      <c r="AX726"/>
      <c r="AY726"/>
      <c r="AZ726"/>
      <c r="BA726"/>
    </row>
    <row r="727" spans="15:53" x14ac:dyDescent="0.25">
      <c r="O727"/>
      <c r="P727"/>
      <c r="Q727"/>
      <c r="R727"/>
      <c r="S727"/>
      <c r="T727"/>
      <c r="U727"/>
      <c r="V727"/>
      <c r="AF727"/>
      <c r="AG727"/>
      <c r="AH727"/>
      <c r="AI727"/>
      <c r="AJ727"/>
      <c r="AK727"/>
      <c r="AN727"/>
      <c r="AO727"/>
      <c r="AP727"/>
      <c r="AQ727"/>
      <c r="AR727"/>
      <c r="AS727"/>
      <c r="AV727"/>
      <c r="AW727"/>
      <c r="AX727"/>
      <c r="AY727"/>
      <c r="AZ727"/>
      <c r="BA727"/>
    </row>
    <row r="728" spans="15:53" x14ac:dyDescent="0.25">
      <c r="O728"/>
      <c r="P728"/>
      <c r="Q728"/>
      <c r="R728"/>
      <c r="S728"/>
      <c r="T728"/>
      <c r="U728"/>
      <c r="V728"/>
      <c r="AF728"/>
      <c r="AG728"/>
      <c r="AH728"/>
      <c r="AI728"/>
      <c r="AJ728"/>
      <c r="AK728"/>
      <c r="AN728"/>
      <c r="AO728"/>
      <c r="AP728"/>
      <c r="AQ728"/>
      <c r="AR728"/>
      <c r="AS728"/>
      <c r="AV728"/>
      <c r="AW728"/>
      <c r="AX728"/>
      <c r="AY728"/>
      <c r="AZ728"/>
      <c r="BA728"/>
    </row>
    <row r="729" spans="15:53" x14ac:dyDescent="0.25">
      <c r="O729"/>
      <c r="P729"/>
      <c r="Q729"/>
      <c r="R729"/>
      <c r="S729"/>
      <c r="T729"/>
      <c r="U729"/>
      <c r="V729"/>
      <c r="AF729"/>
      <c r="AG729"/>
      <c r="AH729"/>
      <c r="AI729"/>
      <c r="AJ729"/>
      <c r="AK729"/>
      <c r="AN729"/>
      <c r="AO729"/>
      <c r="AP729"/>
      <c r="AQ729"/>
      <c r="AR729"/>
      <c r="AS729"/>
      <c r="AV729"/>
      <c r="AW729"/>
      <c r="AX729"/>
      <c r="AY729"/>
      <c r="AZ729"/>
      <c r="BA729"/>
    </row>
    <row r="730" spans="15:53" x14ac:dyDescent="0.25">
      <c r="O730"/>
      <c r="P730"/>
      <c r="Q730"/>
      <c r="R730"/>
      <c r="S730"/>
      <c r="T730"/>
      <c r="U730"/>
      <c r="V730"/>
      <c r="AF730"/>
      <c r="AG730"/>
      <c r="AH730"/>
      <c r="AI730"/>
      <c r="AJ730"/>
      <c r="AK730"/>
      <c r="AN730"/>
      <c r="AO730"/>
      <c r="AP730"/>
      <c r="AQ730"/>
      <c r="AR730"/>
      <c r="AS730"/>
      <c r="AV730"/>
      <c r="AW730"/>
      <c r="AX730"/>
      <c r="AY730"/>
      <c r="AZ730"/>
      <c r="BA730"/>
    </row>
    <row r="731" spans="15:53" x14ac:dyDescent="0.25">
      <c r="O731"/>
      <c r="P731"/>
      <c r="Q731"/>
      <c r="R731"/>
      <c r="S731"/>
      <c r="T731"/>
      <c r="U731"/>
      <c r="V731"/>
      <c r="AF731"/>
      <c r="AG731"/>
      <c r="AH731"/>
      <c r="AI731"/>
      <c r="AJ731"/>
      <c r="AK731"/>
      <c r="AN731"/>
      <c r="AO731"/>
      <c r="AP731"/>
      <c r="AQ731"/>
      <c r="AR731"/>
      <c r="AS731"/>
      <c r="AV731"/>
      <c r="AW731"/>
      <c r="AX731"/>
      <c r="AY731"/>
      <c r="AZ731"/>
      <c r="BA731"/>
    </row>
    <row r="732" spans="15:53" x14ac:dyDescent="0.25">
      <c r="O732"/>
      <c r="P732"/>
      <c r="Q732"/>
      <c r="R732"/>
      <c r="S732"/>
      <c r="T732"/>
      <c r="U732"/>
      <c r="V732"/>
      <c r="AF732"/>
      <c r="AG732"/>
      <c r="AH732"/>
      <c r="AI732"/>
      <c r="AJ732"/>
      <c r="AK732"/>
      <c r="AN732"/>
      <c r="AO732"/>
      <c r="AP732"/>
      <c r="AQ732"/>
      <c r="AR732"/>
      <c r="AS732"/>
      <c r="AV732"/>
      <c r="AW732"/>
      <c r="AX732"/>
      <c r="AY732"/>
      <c r="AZ732"/>
      <c r="BA732"/>
    </row>
    <row r="733" spans="15:53" x14ac:dyDescent="0.25">
      <c r="O733"/>
      <c r="P733"/>
      <c r="Q733"/>
      <c r="R733"/>
      <c r="S733"/>
      <c r="T733"/>
      <c r="U733"/>
      <c r="V733"/>
      <c r="AF733"/>
      <c r="AG733"/>
      <c r="AH733"/>
      <c r="AI733"/>
      <c r="AJ733"/>
      <c r="AK733"/>
      <c r="AN733"/>
      <c r="AO733"/>
      <c r="AP733"/>
      <c r="AQ733"/>
      <c r="AR733"/>
      <c r="AS733"/>
      <c r="AV733"/>
      <c r="AW733"/>
      <c r="AX733"/>
      <c r="AY733"/>
      <c r="AZ733"/>
      <c r="BA733"/>
    </row>
    <row r="734" spans="15:53" x14ac:dyDescent="0.25">
      <c r="O734"/>
      <c r="P734"/>
      <c r="Q734"/>
      <c r="R734"/>
      <c r="S734"/>
      <c r="T734"/>
      <c r="U734"/>
      <c r="V734"/>
      <c r="AF734"/>
      <c r="AG734"/>
      <c r="AH734"/>
      <c r="AI734"/>
      <c r="AJ734"/>
      <c r="AK734"/>
      <c r="AN734"/>
      <c r="AO734"/>
      <c r="AP734"/>
      <c r="AQ734"/>
      <c r="AR734"/>
      <c r="AS734"/>
      <c r="AV734"/>
      <c r="AW734"/>
      <c r="AX734"/>
      <c r="AY734"/>
      <c r="AZ734"/>
      <c r="BA734"/>
    </row>
    <row r="735" spans="15:53" x14ac:dyDescent="0.25">
      <c r="O735"/>
      <c r="P735"/>
      <c r="Q735"/>
      <c r="R735"/>
      <c r="S735"/>
      <c r="T735"/>
      <c r="U735"/>
      <c r="V735"/>
      <c r="AF735"/>
      <c r="AG735"/>
      <c r="AH735"/>
      <c r="AI735"/>
      <c r="AJ735"/>
      <c r="AK735"/>
      <c r="AN735"/>
      <c r="AO735"/>
      <c r="AP735"/>
      <c r="AQ735"/>
      <c r="AR735"/>
      <c r="AS735"/>
      <c r="AV735"/>
      <c r="AW735"/>
      <c r="AX735"/>
      <c r="AY735"/>
      <c r="AZ735"/>
      <c r="BA735"/>
    </row>
    <row r="736" spans="15:53" x14ac:dyDescent="0.25">
      <c r="O736"/>
      <c r="P736"/>
      <c r="Q736"/>
      <c r="R736"/>
      <c r="S736"/>
      <c r="T736"/>
      <c r="U736"/>
      <c r="V736"/>
      <c r="AF736"/>
      <c r="AG736"/>
      <c r="AH736"/>
      <c r="AI736"/>
      <c r="AJ736"/>
      <c r="AK736"/>
      <c r="AN736"/>
      <c r="AO736"/>
      <c r="AP736"/>
      <c r="AQ736"/>
      <c r="AR736"/>
      <c r="AS736"/>
      <c r="AV736"/>
      <c r="AW736"/>
      <c r="AX736"/>
      <c r="AY736"/>
      <c r="AZ736"/>
      <c r="BA736"/>
    </row>
    <row r="737" spans="15:53" x14ac:dyDescent="0.25">
      <c r="O737"/>
      <c r="P737"/>
      <c r="Q737"/>
      <c r="R737"/>
      <c r="S737"/>
      <c r="T737"/>
      <c r="U737"/>
      <c r="V737"/>
      <c r="AF737"/>
      <c r="AG737"/>
      <c r="AH737"/>
      <c r="AI737"/>
      <c r="AJ737"/>
      <c r="AK737"/>
      <c r="AN737"/>
      <c r="AO737"/>
      <c r="AP737"/>
      <c r="AQ737"/>
      <c r="AR737"/>
      <c r="AS737"/>
      <c r="AV737"/>
      <c r="AW737"/>
      <c r="AX737"/>
      <c r="AY737"/>
      <c r="AZ737"/>
      <c r="BA737"/>
    </row>
    <row r="738" spans="15:53" x14ac:dyDescent="0.25">
      <c r="O738"/>
      <c r="P738"/>
      <c r="Q738"/>
      <c r="R738"/>
      <c r="S738"/>
      <c r="T738"/>
      <c r="U738"/>
      <c r="V738"/>
      <c r="AF738"/>
      <c r="AG738"/>
      <c r="AH738"/>
      <c r="AI738"/>
      <c r="AJ738"/>
      <c r="AK738"/>
      <c r="AN738"/>
      <c r="AO738"/>
      <c r="AP738"/>
      <c r="AQ738"/>
      <c r="AR738"/>
      <c r="AS738"/>
      <c r="AV738"/>
      <c r="AW738"/>
      <c r="AX738"/>
      <c r="AY738"/>
      <c r="AZ738"/>
      <c r="BA738"/>
    </row>
    <row r="739" spans="15:53" x14ac:dyDescent="0.25">
      <c r="O739"/>
      <c r="P739"/>
      <c r="Q739"/>
      <c r="R739"/>
      <c r="S739"/>
      <c r="T739"/>
      <c r="U739"/>
      <c r="V739"/>
      <c r="AF739"/>
      <c r="AG739"/>
      <c r="AH739"/>
      <c r="AI739"/>
      <c r="AJ739"/>
      <c r="AK739"/>
      <c r="AN739"/>
      <c r="AO739"/>
      <c r="AP739"/>
      <c r="AQ739"/>
      <c r="AR739"/>
      <c r="AS739"/>
      <c r="AV739"/>
      <c r="AW739"/>
      <c r="AX739"/>
      <c r="AY739"/>
      <c r="AZ739"/>
      <c r="BA739"/>
    </row>
    <row r="740" spans="15:53" x14ac:dyDescent="0.25">
      <c r="O740"/>
      <c r="P740"/>
      <c r="Q740"/>
      <c r="R740"/>
      <c r="S740"/>
      <c r="T740"/>
      <c r="U740"/>
      <c r="V740"/>
      <c r="AF740"/>
      <c r="AG740"/>
      <c r="AH740"/>
      <c r="AI740"/>
      <c r="AJ740"/>
      <c r="AK740"/>
      <c r="AN740"/>
      <c r="AO740"/>
      <c r="AP740"/>
      <c r="AQ740"/>
      <c r="AR740"/>
      <c r="AS740"/>
      <c r="AV740"/>
      <c r="AW740"/>
      <c r="AX740"/>
      <c r="AY740"/>
      <c r="AZ740"/>
      <c r="BA740"/>
    </row>
    <row r="741" spans="15:53" x14ac:dyDescent="0.25">
      <c r="O741"/>
      <c r="P741"/>
      <c r="Q741"/>
      <c r="R741"/>
      <c r="S741"/>
      <c r="T741"/>
      <c r="U741"/>
      <c r="V741"/>
      <c r="AF741"/>
      <c r="AG741"/>
      <c r="AH741"/>
      <c r="AI741"/>
      <c r="AJ741"/>
      <c r="AK741"/>
      <c r="AN741"/>
      <c r="AO741"/>
      <c r="AP741"/>
      <c r="AQ741"/>
      <c r="AR741"/>
      <c r="AS741"/>
      <c r="AV741"/>
      <c r="AW741"/>
      <c r="AX741"/>
      <c r="AY741"/>
      <c r="AZ741"/>
      <c r="BA741"/>
    </row>
    <row r="742" spans="15:53" x14ac:dyDescent="0.25">
      <c r="O742"/>
      <c r="P742"/>
      <c r="Q742"/>
      <c r="R742"/>
      <c r="S742"/>
      <c r="T742"/>
      <c r="U742"/>
      <c r="V742"/>
      <c r="AF742"/>
      <c r="AG742"/>
      <c r="AH742"/>
      <c r="AI742"/>
      <c r="AJ742"/>
      <c r="AK742"/>
      <c r="AN742"/>
      <c r="AO742"/>
      <c r="AP742"/>
      <c r="AQ742"/>
      <c r="AR742"/>
      <c r="AS742"/>
      <c r="AV742"/>
      <c r="AW742"/>
      <c r="AX742"/>
      <c r="AY742"/>
      <c r="AZ742"/>
      <c r="BA742"/>
    </row>
    <row r="743" spans="15:53" x14ac:dyDescent="0.25">
      <c r="O743"/>
      <c r="P743"/>
      <c r="Q743"/>
      <c r="R743"/>
      <c r="S743"/>
      <c r="T743"/>
      <c r="U743"/>
      <c r="V743"/>
      <c r="AF743"/>
      <c r="AG743"/>
      <c r="AH743"/>
      <c r="AI743"/>
      <c r="AJ743"/>
      <c r="AK743"/>
      <c r="AN743"/>
      <c r="AO743"/>
      <c r="AP743"/>
      <c r="AQ743"/>
      <c r="AR743"/>
      <c r="AS743"/>
      <c r="AV743"/>
      <c r="AW743"/>
      <c r="AX743"/>
      <c r="AY743"/>
      <c r="AZ743"/>
      <c r="BA743"/>
    </row>
    <row r="744" spans="15:53" x14ac:dyDescent="0.25">
      <c r="O744"/>
      <c r="P744"/>
      <c r="Q744"/>
      <c r="R744"/>
      <c r="S744"/>
      <c r="T744"/>
      <c r="U744"/>
      <c r="V744"/>
      <c r="AF744"/>
      <c r="AG744"/>
      <c r="AH744"/>
      <c r="AI744"/>
      <c r="AJ744"/>
      <c r="AK744"/>
      <c r="AN744"/>
      <c r="AO744"/>
      <c r="AP744"/>
      <c r="AQ744"/>
      <c r="AR744"/>
      <c r="AS744"/>
      <c r="AV744"/>
      <c r="AW744"/>
      <c r="AX744"/>
      <c r="AY744"/>
      <c r="AZ744"/>
      <c r="BA744"/>
    </row>
    <row r="745" spans="15:53" x14ac:dyDescent="0.25">
      <c r="O745"/>
      <c r="P745"/>
      <c r="Q745"/>
      <c r="R745"/>
      <c r="S745"/>
      <c r="T745"/>
      <c r="U745"/>
      <c r="V745"/>
      <c r="AF745"/>
      <c r="AG745"/>
      <c r="AH745"/>
      <c r="AI745"/>
      <c r="AJ745"/>
      <c r="AK745"/>
      <c r="AN745"/>
      <c r="AO745"/>
      <c r="AP745"/>
      <c r="AQ745"/>
      <c r="AR745"/>
      <c r="AS745"/>
      <c r="AV745"/>
      <c r="AW745"/>
      <c r="AX745"/>
      <c r="AY745"/>
      <c r="AZ745"/>
      <c r="BA745"/>
    </row>
    <row r="746" spans="15:53" x14ac:dyDescent="0.25">
      <c r="O746"/>
      <c r="P746"/>
      <c r="Q746"/>
      <c r="R746"/>
      <c r="S746"/>
      <c r="T746"/>
      <c r="U746"/>
      <c r="V746"/>
      <c r="AF746"/>
      <c r="AG746"/>
      <c r="AH746"/>
      <c r="AI746"/>
      <c r="AJ746"/>
      <c r="AK746"/>
      <c r="AN746"/>
      <c r="AO746"/>
      <c r="AP746"/>
      <c r="AQ746"/>
      <c r="AR746"/>
      <c r="AS746"/>
      <c r="AV746"/>
      <c r="AW746"/>
      <c r="AX746"/>
      <c r="AY746"/>
      <c r="AZ746"/>
      <c r="BA746"/>
    </row>
    <row r="747" spans="15:53" x14ac:dyDescent="0.25">
      <c r="O747"/>
      <c r="P747"/>
      <c r="Q747"/>
      <c r="R747"/>
      <c r="S747"/>
      <c r="T747"/>
      <c r="U747"/>
      <c r="V747"/>
      <c r="AF747"/>
      <c r="AG747"/>
      <c r="AH747"/>
      <c r="AI747"/>
      <c r="AJ747"/>
      <c r="AK747"/>
      <c r="AN747"/>
      <c r="AO747"/>
      <c r="AP747"/>
      <c r="AQ747"/>
      <c r="AR747"/>
      <c r="AS747"/>
      <c r="AV747"/>
      <c r="AW747"/>
      <c r="AX747"/>
      <c r="AY747"/>
      <c r="AZ747"/>
      <c r="BA747"/>
    </row>
    <row r="748" spans="15:53" x14ac:dyDescent="0.25">
      <c r="O748"/>
      <c r="P748"/>
      <c r="Q748"/>
      <c r="R748"/>
      <c r="S748"/>
      <c r="T748"/>
      <c r="U748"/>
      <c r="V748"/>
      <c r="AF748"/>
      <c r="AG748"/>
      <c r="AH748"/>
      <c r="AI748"/>
      <c r="AJ748"/>
      <c r="AK748"/>
      <c r="AN748"/>
      <c r="AO748"/>
      <c r="AP748"/>
      <c r="AQ748"/>
      <c r="AR748"/>
      <c r="AS748"/>
      <c r="AV748"/>
      <c r="AW748"/>
      <c r="AX748"/>
      <c r="AY748"/>
      <c r="AZ748"/>
      <c r="BA748"/>
    </row>
    <row r="749" spans="15:53" x14ac:dyDescent="0.25">
      <c r="O749"/>
      <c r="P749"/>
      <c r="Q749"/>
      <c r="R749"/>
      <c r="S749"/>
      <c r="T749"/>
      <c r="U749"/>
      <c r="V749"/>
      <c r="AF749"/>
      <c r="AG749"/>
      <c r="AH749"/>
      <c r="AI749"/>
      <c r="AJ749"/>
      <c r="AK749"/>
      <c r="AN749"/>
      <c r="AO749"/>
      <c r="AP749"/>
      <c r="AQ749"/>
      <c r="AR749"/>
      <c r="AS749"/>
      <c r="AV749"/>
      <c r="AW749"/>
      <c r="AX749"/>
      <c r="AY749"/>
      <c r="AZ749"/>
      <c r="BA749"/>
    </row>
    <row r="750" spans="15:53" x14ac:dyDescent="0.25">
      <c r="O750"/>
      <c r="P750"/>
      <c r="Q750"/>
      <c r="R750"/>
      <c r="S750"/>
      <c r="T750"/>
      <c r="U750"/>
      <c r="V750"/>
      <c r="AF750"/>
      <c r="AG750"/>
      <c r="AH750"/>
      <c r="AI750"/>
      <c r="AJ750"/>
      <c r="AK750"/>
      <c r="AN750"/>
      <c r="AO750"/>
      <c r="AP750"/>
      <c r="AQ750"/>
      <c r="AR750"/>
      <c r="AS750"/>
      <c r="AV750"/>
      <c r="AW750"/>
      <c r="AX750"/>
      <c r="AY750"/>
      <c r="AZ750"/>
      <c r="BA750"/>
    </row>
    <row r="751" spans="15:53" x14ac:dyDescent="0.25">
      <c r="O751"/>
      <c r="P751"/>
      <c r="Q751"/>
      <c r="R751"/>
      <c r="S751"/>
      <c r="T751"/>
      <c r="U751"/>
      <c r="V751"/>
      <c r="AF751"/>
      <c r="AG751"/>
      <c r="AH751"/>
      <c r="AI751"/>
      <c r="AJ751"/>
      <c r="AK751"/>
      <c r="AN751"/>
      <c r="AO751"/>
      <c r="AP751"/>
      <c r="AQ751"/>
      <c r="AR751"/>
      <c r="AS751"/>
      <c r="AV751"/>
      <c r="AW751"/>
      <c r="AX751"/>
      <c r="AY751"/>
      <c r="AZ751"/>
      <c r="BA751"/>
    </row>
    <row r="752" spans="15:53" x14ac:dyDescent="0.25">
      <c r="O752"/>
      <c r="P752"/>
      <c r="Q752"/>
      <c r="R752"/>
      <c r="S752"/>
      <c r="T752"/>
      <c r="U752"/>
      <c r="V752"/>
      <c r="AF752"/>
      <c r="AG752"/>
      <c r="AH752"/>
      <c r="AI752"/>
      <c r="AJ752"/>
      <c r="AK752"/>
      <c r="AN752"/>
      <c r="AO752"/>
      <c r="AP752"/>
      <c r="AQ752"/>
      <c r="AR752"/>
      <c r="AS752"/>
      <c r="AV752"/>
      <c r="AW752"/>
      <c r="AX752"/>
      <c r="AY752"/>
      <c r="AZ752"/>
      <c r="BA752"/>
    </row>
    <row r="753" spans="15:53" x14ac:dyDescent="0.25">
      <c r="O753"/>
      <c r="P753"/>
      <c r="Q753"/>
      <c r="R753"/>
      <c r="S753"/>
      <c r="T753"/>
      <c r="U753"/>
      <c r="V753"/>
      <c r="AF753"/>
      <c r="AG753"/>
      <c r="AH753"/>
      <c r="AI753"/>
      <c r="AJ753"/>
      <c r="AK753"/>
      <c r="AN753"/>
      <c r="AO753"/>
      <c r="AP753"/>
      <c r="AQ753"/>
      <c r="AR753"/>
      <c r="AS753"/>
      <c r="AV753"/>
      <c r="AW753"/>
      <c r="AX753"/>
      <c r="AY753"/>
      <c r="AZ753"/>
      <c r="BA753"/>
    </row>
    <row r="754" spans="15:53" x14ac:dyDescent="0.25">
      <c r="O754"/>
      <c r="P754"/>
      <c r="Q754"/>
      <c r="R754"/>
      <c r="S754"/>
      <c r="T754"/>
      <c r="U754"/>
      <c r="V754"/>
      <c r="AF754"/>
      <c r="AG754"/>
      <c r="AH754"/>
      <c r="AI754"/>
      <c r="AJ754"/>
      <c r="AK754"/>
      <c r="AN754"/>
      <c r="AO754"/>
      <c r="AP754"/>
      <c r="AQ754"/>
      <c r="AR754"/>
      <c r="AS754"/>
      <c r="AV754"/>
      <c r="AW754"/>
      <c r="AX754"/>
      <c r="AY754"/>
      <c r="AZ754"/>
      <c r="BA754"/>
    </row>
    <row r="755" spans="15:53" x14ac:dyDescent="0.25">
      <c r="O755"/>
      <c r="P755"/>
      <c r="Q755"/>
      <c r="R755"/>
      <c r="S755"/>
      <c r="T755"/>
      <c r="U755"/>
      <c r="V755"/>
      <c r="AF755"/>
      <c r="AG755"/>
      <c r="AH755"/>
      <c r="AI755"/>
      <c r="AJ755"/>
      <c r="AK755"/>
      <c r="AN755"/>
      <c r="AO755"/>
      <c r="AP755"/>
      <c r="AQ755"/>
      <c r="AR755"/>
      <c r="AS755"/>
      <c r="AV755"/>
      <c r="AW755"/>
      <c r="AX755"/>
      <c r="AY755"/>
      <c r="AZ755"/>
      <c r="BA755"/>
    </row>
    <row r="756" spans="15:53" x14ac:dyDescent="0.25">
      <c r="O756"/>
      <c r="P756"/>
      <c r="Q756"/>
      <c r="R756"/>
      <c r="S756"/>
      <c r="T756"/>
      <c r="U756"/>
      <c r="V756"/>
      <c r="AF756"/>
      <c r="AG756"/>
      <c r="AH756"/>
      <c r="AI756"/>
      <c r="AJ756"/>
      <c r="AK756"/>
      <c r="AN756"/>
      <c r="AO756"/>
      <c r="AP756"/>
      <c r="AQ756"/>
      <c r="AR756"/>
      <c r="AS756"/>
      <c r="AV756"/>
      <c r="AW756"/>
      <c r="AX756"/>
      <c r="AY756"/>
      <c r="AZ756"/>
      <c r="BA756"/>
    </row>
    <row r="757" spans="15:53" x14ac:dyDescent="0.25">
      <c r="O757"/>
      <c r="P757"/>
      <c r="Q757"/>
      <c r="R757"/>
      <c r="S757"/>
      <c r="T757"/>
      <c r="U757"/>
      <c r="V757"/>
      <c r="AF757"/>
      <c r="AG757"/>
      <c r="AH757"/>
      <c r="AI757"/>
      <c r="AJ757"/>
      <c r="AK757"/>
      <c r="AN757"/>
      <c r="AO757"/>
      <c r="AP757"/>
      <c r="AQ757"/>
      <c r="AR757"/>
      <c r="AS757"/>
      <c r="AV757"/>
      <c r="AW757"/>
      <c r="AX757"/>
      <c r="AY757"/>
      <c r="AZ757"/>
      <c r="BA757"/>
    </row>
    <row r="758" spans="15:53" x14ac:dyDescent="0.25">
      <c r="O758"/>
      <c r="P758"/>
      <c r="Q758"/>
      <c r="R758"/>
      <c r="S758"/>
      <c r="T758"/>
      <c r="U758"/>
      <c r="V758"/>
      <c r="AF758"/>
      <c r="AG758"/>
      <c r="AH758"/>
      <c r="AI758"/>
      <c r="AJ758"/>
      <c r="AK758"/>
      <c r="AN758"/>
      <c r="AO758"/>
      <c r="AP758"/>
      <c r="AQ758"/>
      <c r="AR758"/>
      <c r="AS758"/>
      <c r="AV758"/>
      <c r="AW758"/>
      <c r="AX758"/>
      <c r="AY758"/>
      <c r="AZ758"/>
      <c r="BA758"/>
    </row>
    <row r="759" spans="15:53" x14ac:dyDescent="0.25">
      <c r="O759"/>
      <c r="P759"/>
      <c r="Q759"/>
      <c r="R759"/>
      <c r="S759"/>
      <c r="T759"/>
      <c r="U759"/>
      <c r="V759"/>
      <c r="AF759"/>
      <c r="AG759"/>
      <c r="AH759"/>
      <c r="AI759"/>
      <c r="AJ759"/>
      <c r="AK759"/>
      <c r="AN759"/>
      <c r="AO759"/>
      <c r="AP759"/>
      <c r="AQ759"/>
      <c r="AR759"/>
      <c r="AS759"/>
      <c r="AV759"/>
      <c r="AW759"/>
      <c r="AX759"/>
      <c r="AY759"/>
      <c r="AZ759"/>
      <c r="BA759"/>
    </row>
    <row r="760" spans="15:53" x14ac:dyDescent="0.25">
      <c r="O760"/>
      <c r="P760"/>
      <c r="Q760"/>
      <c r="R760"/>
      <c r="S760"/>
      <c r="T760"/>
      <c r="U760"/>
      <c r="V760"/>
      <c r="AF760"/>
      <c r="AG760"/>
      <c r="AH760"/>
      <c r="AI760"/>
      <c r="AJ760"/>
      <c r="AK760"/>
      <c r="AN760"/>
      <c r="AO760"/>
      <c r="AP760"/>
      <c r="AQ760"/>
      <c r="AR760"/>
      <c r="AS760"/>
      <c r="AV760"/>
      <c r="AW760"/>
      <c r="AX760"/>
      <c r="AY760"/>
      <c r="AZ760"/>
      <c r="BA760"/>
    </row>
    <row r="761" spans="15:53" x14ac:dyDescent="0.25">
      <c r="O761"/>
      <c r="P761"/>
      <c r="Q761"/>
      <c r="R761"/>
      <c r="S761"/>
      <c r="T761"/>
      <c r="U761"/>
      <c r="V761"/>
      <c r="AF761"/>
      <c r="AG761"/>
      <c r="AH761"/>
      <c r="AI761"/>
      <c r="AJ761"/>
      <c r="AK761"/>
      <c r="AN761"/>
      <c r="AO761"/>
      <c r="AP761"/>
      <c r="AQ761"/>
      <c r="AR761"/>
      <c r="AS761"/>
      <c r="AV761"/>
      <c r="AW761"/>
      <c r="AX761"/>
      <c r="AY761"/>
      <c r="AZ761"/>
      <c r="BA761"/>
    </row>
    <row r="762" spans="15:53" x14ac:dyDescent="0.25">
      <c r="O762"/>
      <c r="P762"/>
      <c r="Q762"/>
      <c r="R762"/>
      <c r="S762"/>
      <c r="T762"/>
      <c r="U762"/>
      <c r="V762"/>
      <c r="AF762"/>
      <c r="AG762"/>
      <c r="AH762"/>
      <c r="AI762"/>
      <c r="AJ762"/>
      <c r="AK762"/>
      <c r="AN762"/>
      <c r="AO762"/>
      <c r="AP762"/>
      <c r="AQ762"/>
      <c r="AR762"/>
      <c r="AS762"/>
      <c r="AV762"/>
      <c r="AW762"/>
      <c r="AX762"/>
      <c r="AY762"/>
      <c r="AZ762"/>
      <c r="BA762"/>
    </row>
    <row r="763" spans="15:53" x14ac:dyDescent="0.25">
      <c r="O763"/>
      <c r="P763"/>
      <c r="Q763"/>
      <c r="R763"/>
      <c r="S763"/>
      <c r="T763"/>
      <c r="U763"/>
      <c r="V763"/>
      <c r="AF763"/>
      <c r="AG763"/>
      <c r="AH763"/>
      <c r="AI763"/>
      <c r="AJ763"/>
      <c r="AK763"/>
      <c r="AN763"/>
      <c r="AO763"/>
      <c r="AP763"/>
      <c r="AQ763"/>
      <c r="AR763"/>
      <c r="AS763"/>
      <c r="AV763"/>
      <c r="AW763"/>
      <c r="AX763"/>
      <c r="AY763"/>
      <c r="AZ763"/>
      <c r="BA763"/>
    </row>
    <row r="764" spans="15:53" x14ac:dyDescent="0.25">
      <c r="O764"/>
      <c r="P764"/>
      <c r="Q764"/>
      <c r="R764"/>
      <c r="S764"/>
      <c r="T764"/>
      <c r="U764"/>
      <c r="V764"/>
      <c r="AF764"/>
      <c r="AG764"/>
      <c r="AH764"/>
      <c r="AI764"/>
      <c r="AJ764"/>
      <c r="AK764"/>
      <c r="AN764"/>
      <c r="AO764"/>
      <c r="AP764"/>
      <c r="AQ764"/>
      <c r="AR764"/>
      <c r="AS764"/>
      <c r="AV764"/>
      <c r="AW764"/>
      <c r="AX764"/>
      <c r="AY764"/>
      <c r="AZ764"/>
      <c r="BA764"/>
    </row>
    <row r="765" spans="15:53" x14ac:dyDescent="0.25">
      <c r="O765"/>
      <c r="P765"/>
      <c r="Q765"/>
      <c r="R765"/>
      <c r="S765"/>
      <c r="T765"/>
      <c r="U765"/>
      <c r="V765"/>
      <c r="AF765"/>
      <c r="AG765"/>
      <c r="AH765"/>
      <c r="AI765"/>
      <c r="AJ765"/>
      <c r="AK765"/>
      <c r="AN765"/>
      <c r="AO765"/>
      <c r="AP765"/>
      <c r="AQ765"/>
      <c r="AR765"/>
      <c r="AS765"/>
      <c r="AV765"/>
      <c r="AW765"/>
      <c r="AX765"/>
      <c r="AY765"/>
      <c r="AZ765"/>
      <c r="BA765"/>
    </row>
    <row r="766" spans="15:53" x14ac:dyDescent="0.25">
      <c r="O766"/>
      <c r="P766"/>
      <c r="Q766"/>
      <c r="R766"/>
      <c r="S766"/>
      <c r="T766"/>
      <c r="U766"/>
      <c r="V766"/>
      <c r="AF766"/>
      <c r="AG766"/>
      <c r="AH766"/>
      <c r="AI766"/>
      <c r="AJ766"/>
      <c r="AK766"/>
      <c r="AN766"/>
      <c r="AO766"/>
      <c r="AP766"/>
      <c r="AQ766"/>
      <c r="AR766"/>
      <c r="AS766"/>
      <c r="AV766"/>
      <c r="AW766"/>
      <c r="AX766"/>
      <c r="AY766"/>
      <c r="AZ766"/>
      <c r="BA766"/>
    </row>
    <row r="767" spans="15:53" x14ac:dyDescent="0.25">
      <c r="O767"/>
      <c r="P767"/>
      <c r="Q767"/>
      <c r="R767"/>
      <c r="S767"/>
      <c r="T767"/>
      <c r="U767"/>
      <c r="V767"/>
      <c r="AF767"/>
      <c r="AG767"/>
      <c r="AH767"/>
      <c r="AI767"/>
      <c r="AJ767"/>
      <c r="AK767"/>
      <c r="AN767"/>
      <c r="AO767"/>
      <c r="AP767"/>
      <c r="AQ767"/>
      <c r="AR767"/>
      <c r="AS767"/>
      <c r="AV767"/>
      <c r="AW767"/>
      <c r="AX767"/>
      <c r="AY767"/>
      <c r="AZ767"/>
      <c r="BA767"/>
    </row>
    <row r="768" spans="15:53" x14ac:dyDescent="0.25">
      <c r="O768"/>
      <c r="P768"/>
      <c r="Q768"/>
      <c r="R768"/>
      <c r="S768"/>
      <c r="T768"/>
      <c r="U768"/>
      <c r="V768"/>
      <c r="AF768"/>
      <c r="AG768"/>
      <c r="AH768"/>
      <c r="AI768"/>
      <c r="AJ768"/>
      <c r="AK768"/>
      <c r="AN768"/>
      <c r="AO768"/>
      <c r="AP768"/>
      <c r="AQ768"/>
      <c r="AR768"/>
      <c r="AS768"/>
      <c r="AV768"/>
      <c r="AW768"/>
      <c r="AX768"/>
      <c r="AY768"/>
      <c r="AZ768"/>
      <c r="BA768"/>
    </row>
    <row r="769" spans="15:53" x14ac:dyDescent="0.25">
      <c r="O769"/>
      <c r="P769"/>
      <c r="Q769"/>
      <c r="R769"/>
      <c r="S769"/>
      <c r="T769"/>
      <c r="U769"/>
      <c r="V769"/>
      <c r="AF769"/>
      <c r="AG769"/>
      <c r="AH769"/>
      <c r="AI769"/>
      <c r="AJ769"/>
      <c r="AK769"/>
      <c r="AN769"/>
      <c r="AO769"/>
      <c r="AP769"/>
      <c r="AQ769"/>
      <c r="AR769"/>
      <c r="AS769"/>
      <c r="AV769"/>
      <c r="AW769"/>
      <c r="AX769"/>
      <c r="AY769"/>
      <c r="AZ769"/>
      <c r="BA769"/>
    </row>
    <row r="770" spans="15:53" x14ac:dyDescent="0.25">
      <c r="O770"/>
      <c r="P770"/>
      <c r="Q770"/>
      <c r="R770"/>
      <c r="S770"/>
      <c r="T770"/>
      <c r="U770"/>
      <c r="V770"/>
      <c r="AF770"/>
      <c r="AG770"/>
      <c r="AH770"/>
      <c r="AI770"/>
      <c r="AJ770"/>
      <c r="AK770"/>
      <c r="AN770"/>
      <c r="AO770"/>
      <c r="AP770"/>
      <c r="AQ770"/>
      <c r="AR770"/>
      <c r="AS770"/>
      <c r="AV770"/>
      <c r="AW770"/>
      <c r="AX770"/>
      <c r="AY770"/>
      <c r="AZ770"/>
      <c r="BA770"/>
    </row>
    <row r="771" spans="15:53" x14ac:dyDescent="0.25">
      <c r="O771"/>
      <c r="P771"/>
      <c r="Q771"/>
      <c r="R771"/>
      <c r="S771"/>
      <c r="T771"/>
      <c r="U771"/>
      <c r="V771"/>
      <c r="AF771"/>
      <c r="AG771"/>
      <c r="AH771"/>
      <c r="AI771"/>
      <c r="AJ771"/>
      <c r="AK771"/>
      <c r="AN771"/>
      <c r="AO771"/>
      <c r="AP771"/>
      <c r="AQ771"/>
      <c r="AR771"/>
      <c r="AS771"/>
      <c r="AV771"/>
      <c r="AW771"/>
      <c r="AX771"/>
      <c r="AY771"/>
      <c r="AZ771"/>
      <c r="BA771"/>
    </row>
    <row r="772" spans="15:53" x14ac:dyDescent="0.25">
      <c r="O772"/>
      <c r="P772"/>
      <c r="Q772"/>
      <c r="R772"/>
      <c r="S772"/>
      <c r="T772"/>
      <c r="U772"/>
      <c r="V772"/>
      <c r="AF772"/>
      <c r="AG772"/>
      <c r="AH772"/>
      <c r="AI772"/>
      <c r="AJ772"/>
      <c r="AK772"/>
      <c r="AN772"/>
      <c r="AO772"/>
      <c r="AP772"/>
      <c r="AQ772"/>
      <c r="AR772"/>
      <c r="AS772"/>
      <c r="AV772"/>
      <c r="AW772"/>
      <c r="AX772"/>
      <c r="AY772"/>
      <c r="AZ772"/>
      <c r="BA772"/>
    </row>
    <row r="773" spans="15:53" x14ac:dyDescent="0.25">
      <c r="O773"/>
      <c r="P773"/>
      <c r="Q773"/>
      <c r="R773"/>
      <c r="S773"/>
      <c r="T773"/>
      <c r="U773"/>
      <c r="V773"/>
      <c r="AF773"/>
      <c r="AG773"/>
      <c r="AH773"/>
      <c r="AI773"/>
      <c r="AJ773"/>
      <c r="AK773"/>
      <c r="AN773"/>
      <c r="AO773"/>
      <c r="AP773"/>
      <c r="AQ773"/>
      <c r="AR773"/>
      <c r="AS773"/>
      <c r="AV773"/>
      <c r="AW773"/>
      <c r="AX773"/>
      <c r="AY773"/>
      <c r="AZ773"/>
      <c r="BA773"/>
    </row>
    <row r="774" spans="15:53" x14ac:dyDescent="0.25">
      <c r="O774"/>
      <c r="P774"/>
      <c r="Q774"/>
      <c r="R774"/>
      <c r="S774"/>
      <c r="T774"/>
      <c r="U774"/>
      <c r="V774"/>
      <c r="AF774"/>
      <c r="AG774"/>
      <c r="AH774"/>
      <c r="AI774"/>
      <c r="AJ774"/>
      <c r="AK774"/>
      <c r="AN774"/>
      <c r="AO774"/>
      <c r="AP774"/>
      <c r="AQ774"/>
      <c r="AR774"/>
      <c r="AS774"/>
      <c r="AV774"/>
      <c r="AW774"/>
      <c r="AX774"/>
      <c r="AY774"/>
      <c r="AZ774"/>
      <c r="BA774"/>
    </row>
    <row r="775" spans="15:53" x14ac:dyDescent="0.25">
      <c r="O775"/>
      <c r="P775"/>
      <c r="Q775"/>
      <c r="R775"/>
      <c r="S775"/>
      <c r="T775"/>
      <c r="U775"/>
      <c r="V775"/>
      <c r="AF775"/>
      <c r="AG775"/>
      <c r="AH775"/>
      <c r="AI775"/>
      <c r="AJ775"/>
      <c r="AK775"/>
      <c r="AN775"/>
      <c r="AO775"/>
      <c r="AP775"/>
      <c r="AQ775"/>
      <c r="AR775"/>
      <c r="AS775"/>
      <c r="AV775"/>
      <c r="AW775"/>
      <c r="AX775"/>
      <c r="AY775"/>
      <c r="AZ775"/>
      <c r="BA775"/>
    </row>
    <row r="776" spans="15:53" x14ac:dyDescent="0.25">
      <c r="O776"/>
      <c r="P776"/>
      <c r="Q776"/>
      <c r="R776"/>
      <c r="S776"/>
      <c r="T776"/>
      <c r="U776"/>
      <c r="V776"/>
      <c r="AF776"/>
      <c r="AG776"/>
      <c r="AH776"/>
      <c r="AI776"/>
      <c r="AJ776"/>
      <c r="AK776"/>
      <c r="AN776"/>
      <c r="AO776"/>
      <c r="AP776"/>
      <c r="AQ776"/>
      <c r="AR776"/>
      <c r="AS776"/>
      <c r="AV776"/>
      <c r="AW776"/>
      <c r="AX776"/>
      <c r="AY776"/>
      <c r="AZ776"/>
      <c r="BA776"/>
    </row>
    <row r="777" spans="15:53" x14ac:dyDescent="0.25">
      <c r="O777"/>
      <c r="P777"/>
      <c r="Q777"/>
      <c r="R777"/>
      <c r="S777"/>
      <c r="T777"/>
      <c r="U777"/>
      <c r="V777"/>
      <c r="AF777"/>
      <c r="AG777"/>
      <c r="AH777"/>
      <c r="AI777"/>
      <c r="AJ777"/>
      <c r="AK777"/>
      <c r="AN777"/>
      <c r="AO777"/>
      <c r="AP777"/>
      <c r="AQ777"/>
      <c r="AR777"/>
      <c r="AS777"/>
      <c r="AV777"/>
      <c r="AW777"/>
      <c r="AX777"/>
      <c r="AY777"/>
      <c r="AZ777"/>
      <c r="BA777"/>
    </row>
    <row r="778" spans="15:53" x14ac:dyDescent="0.25">
      <c r="O778"/>
      <c r="P778"/>
      <c r="Q778"/>
      <c r="R778"/>
      <c r="S778"/>
      <c r="T778"/>
      <c r="U778"/>
      <c r="V778"/>
      <c r="AF778"/>
      <c r="AG778"/>
      <c r="AH778"/>
      <c r="AI778"/>
      <c r="AJ778"/>
      <c r="AK778"/>
      <c r="AN778"/>
      <c r="AO778"/>
      <c r="AP778"/>
      <c r="AQ778"/>
      <c r="AR778"/>
      <c r="AS778"/>
      <c r="AV778"/>
      <c r="AW778"/>
      <c r="AX778"/>
      <c r="AY778"/>
      <c r="AZ778"/>
      <c r="BA778"/>
    </row>
    <row r="779" spans="15:53" x14ac:dyDescent="0.25">
      <c r="O779"/>
      <c r="P779"/>
      <c r="Q779"/>
      <c r="R779"/>
      <c r="S779"/>
      <c r="T779"/>
      <c r="U779"/>
      <c r="V779"/>
      <c r="AF779"/>
      <c r="AG779"/>
      <c r="AH779"/>
      <c r="AI779"/>
      <c r="AJ779"/>
      <c r="AK779"/>
      <c r="AN779"/>
      <c r="AO779"/>
      <c r="AP779"/>
      <c r="AQ779"/>
      <c r="AR779"/>
      <c r="AS779"/>
      <c r="AV779"/>
      <c r="AW779"/>
      <c r="AX779"/>
      <c r="AY779"/>
      <c r="AZ779"/>
      <c r="BA779"/>
    </row>
    <row r="780" spans="15:53" x14ac:dyDescent="0.25">
      <c r="O780"/>
      <c r="P780"/>
      <c r="Q780"/>
      <c r="R780"/>
      <c r="S780"/>
      <c r="T780"/>
      <c r="U780"/>
      <c r="V780"/>
      <c r="AF780"/>
      <c r="AG780"/>
      <c r="AH780"/>
      <c r="AI780"/>
      <c r="AJ780"/>
      <c r="AK780"/>
      <c r="AN780"/>
      <c r="AO780"/>
      <c r="AP780"/>
      <c r="AQ780"/>
      <c r="AR780"/>
      <c r="AS780"/>
      <c r="AV780"/>
      <c r="AW780"/>
      <c r="AX780"/>
      <c r="AY780"/>
      <c r="AZ780"/>
      <c r="BA780"/>
    </row>
    <row r="781" spans="15:53" x14ac:dyDescent="0.25">
      <c r="O781"/>
      <c r="P781"/>
      <c r="Q781"/>
      <c r="R781"/>
      <c r="S781"/>
      <c r="T781"/>
      <c r="U781"/>
      <c r="V781"/>
      <c r="AF781"/>
      <c r="AG781"/>
      <c r="AH781"/>
      <c r="AI781"/>
      <c r="AJ781"/>
      <c r="AK781"/>
      <c r="AN781"/>
      <c r="AO781"/>
      <c r="AP781"/>
      <c r="AQ781"/>
      <c r="AR781"/>
      <c r="AS781"/>
      <c r="AV781"/>
      <c r="AW781"/>
      <c r="AX781"/>
      <c r="AY781"/>
      <c r="AZ781"/>
      <c r="BA781"/>
    </row>
    <row r="782" spans="15:53" x14ac:dyDescent="0.25">
      <c r="O782"/>
      <c r="P782"/>
      <c r="Q782"/>
      <c r="R782"/>
      <c r="S782"/>
      <c r="T782"/>
      <c r="U782"/>
      <c r="V782"/>
      <c r="AF782"/>
      <c r="AG782"/>
      <c r="AH782"/>
      <c r="AI782"/>
      <c r="AJ782"/>
      <c r="AK782"/>
      <c r="AN782"/>
      <c r="AO782"/>
      <c r="AP782"/>
      <c r="AQ782"/>
      <c r="AR782"/>
      <c r="AS782"/>
      <c r="AV782"/>
      <c r="AW782"/>
      <c r="AX782"/>
      <c r="AY782"/>
      <c r="AZ782"/>
      <c r="BA782"/>
    </row>
    <row r="783" spans="15:53" x14ac:dyDescent="0.25">
      <c r="O783"/>
      <c r="P783"/>
      <c r="Q783"/>
      <c r="R783"/>
      <c r="S783"/>
      <c r="T783"/>
      <c r="U783"/>
      <c r="V783"/>
      <c r="AF783"/>
      <c r="AG783"/>
      <c r="AH783"/>
      <c r="AI783"/>
      <c r="AJ783"/>
      <c r="AK783"/>
      <c r="AN783"/>
      <c r="AO783"/>
      <c r="AP783"/>
      <c r="AQ783"/>
      <c r="AR783"/>
      <c r="AS783"/>
      <c r="AV783"/>
      <c r="AW783"/>
      <c r="AX783"/>
      <c r="AY783"/>
      <c r="AZ783"/>
      <c r="BA783"/>
    </row>
    <row r="784" spans="15:53" x14ac:dyDescent="0.25">
      <c r="O784"/>
      <c r="P784"/>
      <c r="Q784"/>
      <c r="R784"/>
      <c r="S784"/>
      <c r="T784"/>
      <c r="U784"/>
      <c r="V784"/>
      <c r="AF784"/>
      <c r="AG784"/>
      <c r="AH784"/>
      <c r="AI784"/>
      <c r="AJ784"/>
      <c r="AK784"/>
      <c r="AN784"/>
      <c r="AO784"/>
      <c r="AP784"/>
      <c r="AQ784"/>
      <c r="AR784"/>
      <c r="AS784"/>
      <c r="AV784"/>
      <c r="AW784"/>
      <c r="AX784"/>
      <c r="AY784"/>
      <c r="AZ784"/>
      <c r="BA784"/>
    </row>
    <row r="785" spans="15:53" x14ac:dyDescent="0.25">
      <c r="O785"/>
      <c r="P785"/>
      <c r="Q785"/>
      <c r="R785"/>
      <c r="S785"/>
      <c r="T785"/>
      <c r="U785"/>
      <c r="V785"/>
      <c r="AF785"/>
      <c r="AG785"/>
      <c r="AH785"/>
      <c r="AI785"/>
      <c r="AJ785"/>
      <c r="AK785"/>
      <c r="AN785"/>
      <c r="AO785"/>
      <c r="AP785"/>
      <c r="AQ785"/>
      <c r="AR785"/>
      <c r="AS785"/>
      <c r="AV785"/>
      <c r="AW785"/>
      <c r="AX785"/>
      <c r="AY785"/>
      <c r="AZ785"/>
      <c r="BA785"/>
    </row>
    <row r="786" spans="15:53" x14ac:dyDescent="0.25">
      <c r="O786"/>
      <c r="P786"/>
      <c r="Q786"/>
      <c r="R786"/>
      <c r="S786"/>
      <c r="T786"/>
      <c r="U786"/>
      <c r="V786"/>
      <c r="AF786"/>
      <c r="AG786"/>
      <c r="AH786"/>
      <c r="AI786"/>
      <c r="AJ786"/>
      <c r="AK786"/>
      <c r="AN786"/>
      <c r="AO786"/>
      <c r="AP786"/>
      <c r="AQ786"/>
      <c r="AR786"/>
      <c r="AS786"/>
      <c r="AV786"/>
      <c r="AW786"/>
      <c r="AX786"/>
      <c r="AY786"/>
      <c r="AZ786"/>
      <c r="BA786"/>
    </row>
    <row r="787" spans="15:53" x14ac:dyDescent="0.25">
      <c r="O787"/>
      <c r="P787"/>
      <c r="Q787"/>
      <c r="R787"/>
      <c r="S787"/>
      <c r="T787"/>
      <c r="U787"/>
      <c r="V787"/>
      <c r="AF787"/>
      <c r="AG787"/>
      <c r="AH787"/>
      <c r="AI787"/>
      <c r="AJ787"/>
      <c r="AK787"/>
      <c r="AN787"/>
      <c r="AO787"/>
      <c r="AP787"/>
      <c r="AQ787"/>
      <c r="AR787"/>
      <c r="AS787"/>
      <c r="AV787"/>
      <c r="AW787"/>
      <c r="AX787"/>
      <c r="AY787"/>
      <c r="AZ787"/>
      <c r="BA787"/>
    </row>
    <row r="788" spans="15:53" x14ac:dyDescent="0.25">
      <c r="O788"/>
      <c r="P788"/>
      <c r="Q788"/>
      <c r="R788"/>
      <c r="S788"/>
      <c r="T788"/>
      <c r="U788"/>
      <c r="V788"/>
      <c r="AF788"/>
      <c r="AG788"/>
      <c r="AH788"/>
      <c r="AI788"/>
      <c r="AJ788"/>
      <c r="AK788"/>
      <c r="AN788"/>
      <c r="AO788"/>
      <c r="AP788"/>
      <c r="AQ788"/>
      <c r="AR788"/>
      <c r="AS788"/>
      <c r="AV788"/>
      <c r="AW788"/>
      <c r="AX788"/>
      <c r="AY788"/>
      <c r="AZ788"/>
      <c r="BA788"/>
    </row>
    <row r="789" spans="15:53" x14ac:dyDescent="0.25">
      <c r="O789"/>
      <c r="P789"/>
      <c r="Q789"/>
      <c r="R789"/>
      <c r="S789"/>
      <c r="T789"/>
      <c r="U789"/>
      <c r="V789"/>
      <c r="AF789"/>
      <c r="AG789"/>
      <c r="AH789"/>
      <c r="AI789"/>
      <c r="AJ789"/>
      <c r="AK789"/>
      <c r="AN789"/>
      <c r="AO789"/>
      <c r="AP789"/>
      <c r="AQ789"/>
      <c r="AR789"/>
      <c r="AS789"/>
      <c r="AV789"/>
      <c r="AW789"/>
      <c r="AX789"/>
      <c r="AY789"/>
      <c r="AZ789"/>
      <c r="BA789"/>
    </row>
    <row r="790" spans="15:53" x14ac:dyDescent="0.25">
      <c r="O790"/>
      <c r="P790"/>
      <c r="Q790"/>
      <c r="R790"/>
      <c r="S790"/>
      <c r="T790"/>
      <c r="U790"/>
      <c r="V790"/>
      <c r="AF790"/>
      <c r="AG790"/>
      <c r="AH790"/>
      <c r="AI790"/>
      <c r="AJ790"/>
      <c r="AK790"/>
      <c r="AN790"/>
      <c r="AO790"/>
      <c r="AP790"/>
      <c r="AQ790"/>
      <c r="AR790"/>
      <c r="AS790"/>
      <c r="AV790"/>
      <c r="AW790"/>
      <c r="AX790"/>
      <c r="AY790"/>
      <c r="AZ790"/>
      <c r="BA790"/>
    </row>
    <row r="791" spans="15:53" x14ac:dyDescent="0.25">
      <c r="O791"/>
      <c r="P791"/>
      <c r="Q791"/>
      <c r="R791"/>
      <c r="S791"/>
      <c r="T791"/>
      <c r="U791"/>
      <c r="V791"/>
      <c r="AF791"/>
      <c r="AG791"/>
      <c r="AH791"/>
      <c r="AI791"/>
      <c r="AJ791"/>
      <c r="AK791"/>
      <c r="AN791"/>
      <c r="AO791"/>
      <c r="AP791"/>
      <c r="AQ791"/>
      <c r="AR791"/>
      <c r="AS791"/>
      <c r="AV791"/>
      <c r="AW791"/>
      <c r="AX791"/>
      <c r="AY791"/>
      <c r="AZ791"/>
      <c r="BA791"/>
    </row>
    <row r="792" spans="15:53" x14ac:dyDescent="0.25">
      <c r="O792"/>
      <c r="P792"/>
      <c r="Q792"/>
      <c r="R792"/>
      <c r="S792"/>
      <c r="T792"/>
      <c r="U792"/>
      <c r="V792"/>
      <c r="AF792"/>
      <c r="AG792"/>
      <c r="AH792"/>
      <c r="AI792"/>
      <c r="AJ792"/>
      <c r="AK792"/>
      <c r="AN792"/>
      <c r="AO792"/>
      <c r="AP792"/>
      <c r="AQ792"/>
      <c r="AR792"/>
      <c r="AS792"/>
      <c r="AV792"/>
      <c r="AW792"/>
      <c r="AX792"/>
      <c r="AY792"/>
      <c r="AZ792"/>
      <c r="BA792"/>
    </row>
    <row r="793" spans="15:53" x14ac:dyDescent="0.25">
      <c r="O793"/>
      <c r="P793"/>
      <c r="Q793"/>
      <c r="R793"/>
      <c r="S793"/>
      <c r="T793"/>
      <c r="U793"/>
      <c r="V793"/>
      <c r="AF793"/>
      <c r="AG793"/>
      <c r="AH793"/>
      <c r="AI793"/>
      <c r="AJ793"/>
      <c r="AK793"/>
      <c r="AN793"/>
      <c r="AO793"/>
      <c r="AP793"/>
      <c r="AQ793"/>
      <c r="AR793"/>
      <c r="AS793"/>
      <c r="AV793"/>
      <c r="AW793"/>
      <c r="AX793"/>
      <c r="AY793"/>
      <c r="AZ793"/>
      <c r="BA793"/>
    </row>
    <row r="794" spans="15:53" x14ac:dyDescent="0.25">
      <c r="O794"/>
      <c r="P794"/>
      <c r="Q794"/>
      <c r="R794"/>
      <c r="S794"/>
      <c r="T794"/>
      <c r="U794"/>
      <c r="V794"/>
      <c r="AF794"/>
      <c r="AG794"/>
      <c r="AH794"/>
      <c r="AI794"/>
      <c r="AJ794"/>
      <c r="AK794"/>
      <c r="AN794"/>
      <c r="AO794"/>
      <c r="AP794"/>
      <c r="AQ794"/>
      <c r="AR794"/>
      <c r="AS794"/>
      <c r="AV794"/>
      <c r="AW794"/>
      <c r="AX794"/>
      <c r="AY794"/>
      <c r="AZ794"/>
      <c r="BA794"/>
    </row>
    <row r="795" spans="15:53" x14ac:dyDescent="0.25">
      <c r="O795"/>
      <c r="P795"/>
      <c r="Q795"/>
      <c r="R795"/>
      <c r="S795"/>
      <c r="T795"/>
      <c r="U795"/>
      <c r="V795"/>
      <c r="AF795"/>
      <c r="AG795"/>
      <c r="AH795"/>
      <c r="AI795"/>
      <c r="AJ795"/>
      <c r="AK795"/>
      <c r="AN795"/>
      <c r="AO795"/>
      <c r="AP795"/>
      <c r="AQ795"/>
      <c r="AR795"/>
      <c r="AS795"/>
      <c r="AV795"/>
      <c r="AW795"/>
      <c r="AX795"/>
      <c r="AY795"/>
      <c r="AZ795"/>
      <c r="BA795"/>
    </row>
    <row r="796" spans="15:53" x14ac:dyDescent="0.25">
      <c r="O796"/>
      <c r="P796"/>
      <c r="Q796"/>
      <c r="R796"/>
      <c r="S796"/>
      <c r="T796"/>
      <c r="U796"/>
      <c r="V796"/>
      <c r="AF796"/>
      <c r="AG796"/>
      <c r="AH796"/>
      <c r="AI796"/>
      <c r="AJ796"/>
      <c r="AK796"/>
      <c r="AN796"/>
      <c r="AO796"/>
      <c r="AP796"/>
      <c r="AQ796"/>
      <c r="AR796"/>
      <c r="AS796"/>
      <c r="AV796"/>
      <c r="AW796"/>
      <c r="AX796"/>
      <c r="AY796"/>
      <c r="AZ796"/>
      <c r="BA796"/>
    </row>
    <row r="797" spans="15:53" x14ac:dyDescent="0.25">
      <c r="O797"/>
      <c r="P797"/>
      <c r="Q797"/>
      <c r="R797"/>
      <c r="S797"/>
      <c r="T797"/>
      <c r="U797"/>
      <c r="V797"/>
      <c r="AF797"/>
      <c r="AG797"/>
      <c r="AH797"/>
      <c r="AI797"/>
      <c r="AJ797"/>
      <c r="AK797"/>
      <c r="AN797"/>
      <c r="AO797"/>
      <c r="AP797"/>
      <c r="AQ797"/>
      <c r="AR797"/>
      <c r="AS797"/>
      <c r="AV797"/>
      <c r="AW797"/>
      <c r="AX797"/>
      <c r="AY797"/>
      <c r="AZ797"/>
      <c r="BA797"/>
    </row>
    <row r="798" spans="15:53" x14ac:dyDescent="0.25">
      <c r="O798"/>
      <c r="P798"/>
      <c r="Q798"/>
      <c r="R798"/>
      <c r="S798"/>
      <c r="T798"/>
      <c r="U798"/>
      <c r="V798"/>
      <c r="AF798"/>
      <c r="AG798"/>
      <c r="AH798"/>
      <c r="AI798"/>
      <c r="AJ798"/>
      <c r="AK798"/>
      <c r="AN798"/>
      <c r="AO798"/>
      <c r="AP798"/>
      <c r="AQ798"/>
      <c r="AR798"/>
      <c r="AS798"/>
      <c r="AV798"/>
      <c r="AW798"/>
      <c r="AX798"/>
      <c r="AY798"/>
      <c r="AZ798"/>
      <c r="BA798"/>
    </row>
    <row r="799" spans="15:53" x14ac:dyDescent="0.25">
      <c r="O799"/>
      <c r="P799"/>
      <c r="Q799"/>
      <c r="R799"/>
      <c r="S799"/>
      <c r="T799"/>
      <c r="U799"/>
      <c r="V799"/>
      <c r="AF799"/>
      <c r="AG799"/>
      <c r="AH799"/>
      <c r="AI799"/>
      <c r="AJ799"/>
      <c r="AK799"/>
      <c r="AN799"/>
      <c r="AO799"/>
      <c r="AP799"/>
      <c r="AQ799"/>
      <c r="AR799"/>
      <c r="AS799"/>
      <c r="AV799"/>
      <c r="AW799"/>
      <c r="AX799"/>
      <c r="AY799"/>
      <c r="AZ799"/>
      <c r="BA799"/>
    </row>
    <row r="800" spans="15:53" x14ac:dyDescent="0.25">
      <c r="O800"/>
      <c r="P800"/>
      <c r="Q800"/>
      <c r="R800"/>
      <c r="S800"/>
      <c r="T800"/>
      <c r="U800"/>
      <c r="V800"/>
      <c r="AF800"/>
      <c r="AG800"/>
      <c r="AH800"/>
      <c r="AI800"/>
      <c r="AJ800"/>
      <c r="AK800"/>
      <c r="AN800"/>
      <c r="AO800"/>
      <c r="AP800"/>
      <c r="AQ800"/>
      <c r="AR800"/>
      <c r="AS800"/>
      <c r="AV800"/>
      <c r="AW800"/>
      <c r="AX800"/>
      <c r="AY800"/>
      <c r="AZ800"/>
      <c r="BA800"/>
    </row>
    <row r="801" spans="15:53" x14ac:dyDescent="0.25">
      <c r="O801"/>
      <c r="P801"/>
      <c r="Q801"/>
      <c r="R801"/>
      <c r="S801"/>
      <c r="T801"/>
      <c r="U801"/>
      <c r="V801"/>
      <c r="AF801"/>
      <c r="AG801"/>
      <c r="AH801"/>
      <c r="AI801"/>
      <c r="AJ801"/>
      <c r="AK801"/>
      <c r="AN801"/>
      <c r="AO801"/>
      <c r="AP801"/>
      <c r="AQ801"/>
      <c r="AR801"/>
      <c r="AS801"/>
      <c r="AV801"/>
      <c r="AW801"/>
      <c r="AX801"/>
      <c r="AY801"/>
      <c r="AZ801"/>
      <c r="BA801"/>
    </row>
    <row r="802" spans="15:53" x14ac:dyDescent="0.25">
      <c r="O802"/>
      <c r="P802"/>
      <c r="Q802"/>
      <c r="R802"/>
      <c r="S802"/>
      <c r="T802"/>
      <c r="U802"/>
      <c r="V802"/>
      <c r="AF802"/>
      <c r="AG802"/>
      <c r="AH802"/>
      <c r="AI802"/>
      <c r="AJ802"/>
      <c r="AK802"/>
      <c r="AN802"/>
      <c r="AO802"/>
      <c r="AP802"/>
      <c r="AQ802"/>
      <c r="AR802"/>
      <c r="AS802"/>
      <c r="AV802"/>
      <c r="AW802"/>
      <c r="AX802"/>
      <c r="AY802"/>
      <c r="AZ802"/>
      <c r="BA802"/>
    </row>
    <row r="803" spans="15:53" x14ac:dyDescent="0.25">
      <c r="O803"/>
      <c r="P803"/>
      <c r="Q803"/>
      <c r="R803"/>
      <c r="S803"/>
      <c r="T803"/>
      <c r="U803"/>
      <c r="V803"/>
      <c r="AF803"/>
      <c r="AG803"/>
      <c r="AH803"/>
      <c r="AI803"/>
      <c r="AJ803"/>
      <c r="AK803"/>
      <c r="AN803"/>
      <c r="AO803"/>
      <c r="AP803"/>
      <c r="AQ803"/>
      <c r="AR803"/>
      <c r="AS803"/>
      <c r="AV803"/>
      <c r="AW803"/>
      <c r="AX803"/>
      <c r="AY803"/>
      <c r="AZ803"/>
      <c r="BA803"/>
    </row>
    <row r="804" spans="15:53" x14ac:dyDescent="0.25">
      <c r="O804"/>
      <c r="P804"/>
      <c r="Q804"/>
      <c r="R804"/>
      <c r="S804"/>
      <c r="T804"/>
      <c r="U804"/>
      <c r="V804"/>
      <c r="AF804"/>
      <c r="AG804"/>
      <c r="AH804"/>
      <c r="AI804"/>
      <c r="AJ804"/>
      <c r="AK804"/>
      <c r="AN804"/>
      <c r="AO804"/>
      <c r="AP804"/>
      <c r="AQ804"/>
      <c r="AR804"/>
      <c r="AS804"/>
      <c r="AV804"/>
      <c r="AW804"/>
      <c r="AX804"/>
      <c r="AY804"/>
      <c r="AZ804"/>
      <c r="BA804"/>
    </row>
    <row r="805" spans="15:53" x14ac:dyDescent="0.25">
      <c r="O805"/>
      <c r="P805"/>
      <c r="Q805"/>
      <c r="R805"/>
      <c r="S805"/>
      <c r="T805"/>
      <c r="U805"/>
      <c r="V805"/>
      <c r="AF805"/>
      <c r="AG805"/>
      <c r="AH805"/>
      <c r="AI805"/>
      <c r="AJ805"/>
      <c r="AK805"/>
      <c r="AN805"/>
      <c r="AO805"/>
      <c r="AP805"/>
      <c r="AQ805"/>
      <c r="AR805"/>
      <c r="AS805"/>
      <c r="AV805"/>
      <c r="AW805"/>
      <c r="AX805"/>
      <c r="AY805"/>
      <c r="AZ805"/>
      <c r="BA805"/>
    </row>
    <row r="806" spans="15:53" x14ac:dyDescent="0.25">
      <c r="O806"/>
      <c r="P806"/>
      <c r="Q806"/>
      <c r="R806"/>
      <c r="S806"/>
      <c r="T806"/>
      <c r="U806"/>
      <c r="V806"/>
      <c r="AF806"/>
      <c r="AG806"/>
      <c r="AH806"/>
      <c r="AI806"/>
      <c r="AJ806"/>
      <c r="AK806"/>
      <c r="AN806"/>
      <c r="AO806"/>
      <c r="AP806"/>
      <c r="AQ806"/>
      <c r="AR806"/>
      <c r="AS806"/>
      <c r="AV806"/>
      <c r="AW806"/>
      <c r="AX806"/>
      <c r="AY806"/>
      <c r="AZ806"/>
      <c r="BA806"/>
    </row>
    <row r="807" spans="15:53" x14ac:dyDescent="0.25">
      <c r="O807"/>
      <c r="P807"/>
      <c r="Q807"/>
      <c r="R807"/>
      <c r="S807"/>
      <c r="T807"/>
      <c r="U807"/>
      <c r="V807"/>
      <c r="AF807"/>
      <c r="AG807"/>
      <c r="AH807"/>
      <c r="AI807"/>
      <c r="AJ807"/>
      <c r="AK807"/>
      <c r="AN807"/>
      <c r="AO807"/>
      <c r="AP807"/>
      <c r="AQ807"/>
      <c r="AR807"/>
      <c r="AS807"/>
      <c r="AV807"/>
      <c r="AW807"/>
      <c r="AX807"/>
      <c r="AY807"/>
      <c r="AZ807"/>
      <c r="BA807"/>
    </row>
    <row r="808" spans="15:53" x14ac:dyDescent="0.25">
      <c r="O808"/>
      <c r="P808"/>
      <c r="Q808"/>
      <c r="R808"/>
      <c r="S808"/>
      <c r="T808"/>
      <c r="U808"/>
      <c r="V808"/>
      <c r="AF808"/>
      <c r="AG808"/>
      <c r="AH808"/>
      <c r="AI808"/>
      <c r="AJ808"/>
      <c r="AK808"/>
      <c r="AN808"/>
      <c r="AO808"/>
      <c r="AP808"/>
      <c r="AQ808"/>
      <c r="AR808"/>
      <c r="AS808"/>
      <c r="AV808"/>
      <c r="AW808"/>
      <c r="AX808"/>
      <c r="AY808"/>
      <c r="AZ808"/>
      <c r="BA808"/>
    </row>
    <row r="809" spans="15:53" x14ac:dyDescent="0.25">
      <c r="O809"/>
      <c r="P809"/>
      <c r="Q809"/>
      <c r="R809"/>
      <c r="S809"/>
      <c r="T809"/>
      <c r="U809"/>
      <c r="V809"/>
      <c r="AF809"/>
      <c r="AG809"/>
      <c r="AH809"/>
      <c r="AI809"/>
      <c r="AJ809"/>
      <c r="AK809"/>
      <c r="AN809"/>
      <c r="AO809"/>
      <c r="AP809"/>
      <c r="AQ809"/>
      <c r="AR809"/>
      <c r="AS809"/>
      <c r="AV809"/>
      <c r="AW809"/>
      <c r="AX809"/>
      <c r="AY809"/>
      <c r="AZ809"/>
      <c r="BA809"/>
    </row>
    <row r="810" spans="15:53" x14ac:dyDescent="0.25">
      <c r="O810"/>
      <c r="P810"/>
      <c r="Q810"/>
      <c r="R810"/>
      <c r="S810"/>
      <c r="T810"/>
      <c r="U810"/>
      <c r="V810"/>
      <c r="AF810"/>
      <c r="AG810"/>
      <c r="AH810"/>
      <c r="AI810"/>
      <c r="AJ810"/>
      <c r="AK810"/>
      <c r="AN810"/>
      <c r="AO810"/>
      <c r="AP810"/>
      <c r="AQ810"/>
      <c r="AR810"/>
      <c r="AS810"/>
      <c r="AV810"/>
      <c r="AW810"/>
      <c r="AX810"/>
      <c r="AY810"/>
      <c r="AZ810"/>
      <c r="BA810"/>
    </row>
    <row r="811" spans="15:53" x14ac:dyDescent="0.25">
      <c r="O811"/>
      <c r="P811"/>
      <c r="Q811"/>
      <c r="R811"/>
      <c r="S811"/>
      <c r="T811"/>
      <c r="U811"/>
      <c r="V811"/>
      <c r="AF811"/>
      <c r="AG811"/>
      <c r="AH811"/>
      <c r="AI811"/>
      <c r="AJ811"/>
      <c r="AK811"/>
      <c r="AN811"/>
      <c r="AO811"/>
      <c r="AP811"/>
      <c r="AQ811"/>
      <c r="AR811"/>
      <c r="AS811"/>
      <c r="AV811"/>
      <c r="AW811"/>
      <c r="AX811"/>
      <c r="AY811"/>
      <c r="AZ811"/>
      <c r="BA811"/>
    </row>
    <row r="812" spans="15:53" x14ac:dyDescent="0.25">
      <c r="O812"/>
      <c r="P812"/>
      <c r="Q812"/>
      <c r="R812"/>
      <c r="S812"/>
      <c r="T812"/>
      <c r="U812"/>
      <c r="V812"/>
      <c r="AF812"/>
      <c r="AG812"/>
      <c r="AH812"/>
      <c r="AI812"/>
      <c r="AJ812"/>
      <c r="AK812"/>
      <c r="AN812"/>
      <c r="AO812"/>
      <c r="AP812"/>
      <c r="AQ812"/>
      <c r="AR812"/>
      <c r="AS812"/>
      <c r="AV812"/>
      <c r="AW812"/>
      <c r="AX812"/>
      <c r="AY812"/>
      <c r="AZ812"/>
      <c r="BA812"/>
    </row>
    <row r="813" spans="15:53" x14ac:dyDescent="0.25">
      <c r="O813"/>
      <c r="P813"/>
      <c r="Q813"/>
      <c r="R813"/>
      <c r="S813"/>
      <c r="T813"/>
      <c r="U813"/>
      <c r="V813"/>
      <c r="AF813"/>
      <c r="AG813"/>
      <c r="AH813"/>
      <c r="AI813"/>
      <c r="AJ813"/>
      <c r="AK813"/>
      <c r="AN813"/>
      <c r="AO813"/>
      <c r="AP813"/>
      <c r="AQ813"/>
      <c r="AR813"/>
      <c r="AS813"/>
      <c r="AV813"/>
      <c r="AW813"/>
      <c r="AX813"/>
      <c r="AY813"/>
      <c r="AZ813"/>
      <c r="BA813"/>
    </row>
    <row r="814" spans="15:53" x14ac:dyDescent="0.25">
      <c r="O814"/>
      <c r="P814"/>
      <c r="Q814"/>
      <c r="R814"/>
      <c r="S814"/>
      <c r="T814"/>
      <c r="U814"/>
      <c r="V814"/>
      <c r="AF814"/>
      <c r="AG814"/>
      <c r="AH814"/>
      <c r="AI814"/>
      <c r="AJ814"/>
      <c r="AK814"/>
      <c r="AN814"/>
      <c r="AO814"/>
      <c r="AP814"/>
      <c r="AQ814"/>
      <c r="AR814"/>
      <c r="AS814"/>
      <c r="AV814"/>
      <c r="AW814"/>
      <c r="AX814"/>
      <c r="AY814"/>
      <c r="AZ814"/>
      <c r="BA814"/>
    </row>
    <row r="815" spans="15:53" x14ac:dyDescent="0.25">
      <c r="O815"/>
      <c r="P815"/>
      <c r="Q815"/>
      <c r="R815"/>
      <c r="S815"/>
      <c r="T815"/>
      <c r="U815"/>
      <c r="V815"/>
      <c r="AF815"/>
      <c r="AG815"/>
      <c r="AH815"/>
      <c r="AI815"/>
      <c r="AJ815"/>
      <c r="AK815"/>
      <c r="AN815"/>
      <c r="AO815"/>
      <c r="AP815"/>
      <c r="AQ815"/>
      <c r="AR815"/>
      <c r="AS815"/>
      <c r="AV815"/>
      <c r="AW815"/>
      <c r="AX815"/>
      <c r="AY815"/>
      <c r="AZ815"/>
      <c r="BA815"/>
    </row>
    <row r="816" spans="15:53" x14ac:dyDescent="0.25">
      <c r="O816"/>
      <c r="P816"/>
      <c r="Q816"/>
      <c r="R816"/>
      <c r="S816"/>
      <c r="T816"/>
      <c r="U816"/>
      <c r="V816"/>
      <c r="AF816"/>
      <c r="AG816"/>
      <c r="AH816"/>
      <c r="AI816"/>
      <c r="AJ816"/>
      <c r="AK816"/>
      <c r="AN816"/>
      <c r="AO816"/>
      <c r="AP816"/>
      <c r="AQ816"/>
      <c r="AR816"/>
      <c r="AS816"/>
      <c r="AV816"/>
      <c r="AW816"/>
      <c r="AX816"/>
      <c r="AY816"/>
      <c r="AZ816"/>
      <c r="BA816"/>
    </row>
    <row r="817" spans="15:53" x14ac:dyDescent="0.25">
      <c r="O817"/>
      <c r="P817"/>
      <c r="Q817"/>
      <c r="R817"/>
      <c r="S817"/>
      <c r="T817"/>
      <c r="U817"/>
      <c r="V817"/>
      <c r="AF817"/>
      <c r="AG817"/>
      <c r="AH817"/>
      <c r="AI817"/>
      <c r="AJ817"/>
      <c r="AK817"/>
      <c r="AN817"/>
      <c r="AO817"/>
      <c r="AP817"/>
      <c r="AQ817"/>
      <c r="AR817"/>
      <c r="AS817"/>
      <c r="AV817"/>
      <c r="AW817"/>
      <c r="AX817"/>
      <c r="AY817"/>
      <c r="AZ817"/>
      <c r="BA817"/>
    </row>
    <row r="818" spans="15:53" x14ac:dyDescent="0.25">
      <c r="O818"/>
      <c r="P818"/>
      <c r="Q818"/>
      <c r="R818"/>
      <c r="S818"/>
      <c r="T818"/>
      <c r="U818"/>
      <c r="V818"/>
      <c r="AF818"/>
      <c r="AG818"/>
      <c r="AH818"/>
      <c r="AI818"/>
      <c r="AJ818"/>
      <c r="AK818"/>
      <c r="AN818"/>
      <c r="AO818"/>
      <c r="AP818"/>
      <c r="AQ818"/>
      <c r="AR818"/>
      <c r="AS818"/>
      <c r="AV818"/>
      <c r="AW818"/>
      <c r="AX818"/>
      <c r="AY818"/>
      <c r="AZ818"/>
      <c r="BA818"/>
    </row>
    <row r="819" spans="15:53" x14ac:dyDescent="0.25">
      <c r="O819"/>
      <c r="P819"/>
      <c r="Q819"/>
      <c r="R819"/>
      <c r="S819"/>
      <c r="T819"/>
      <c r="U819"/>
      <c r="V819"/>
      <c r="AF819"/>
      <c r="AG819"/>
      <c r="AH819"/>
      <c r="AI819"/>
      <c r="AJ819"/>
      <c r="AK819"/>
      <c r="AN819"/>
      <c r="AO819"/>
      <c r="AP819"/>
      <c r="AQ819"/>
      <c r="AR819"/>
      <c r="AS819"/>
      <c r="AV819"/>
      <c r="AW819"/>
      <c r="AX819"/>
      <c r="AY819"/>
      <c r="AZ819"/>
      <c r="BA819"/>
    </row>
    <row r="820" spans="15:53" x14ac:dyDescent="0.25">
      <c r="O820"/>
      <c r="P820"/>
      <c r="Q820"/>
      <c r="R820"/>
      <c r="S820"/>
      <c r="T820"/>
      <c r="U820"/>
      <c r="V820"/>
      <c r="AF820"/>
      <c r="AG820"/>
      <c r="AH820"/>
      <c r="AI820"/>
      <c r="AJ820"/>
      <c r="AK820"/>
      <c r="AN820"/>
      <c r="AO820"/>
      <c r="AP820"/>
      <c r="AQ820"/>
      <c r="AR820"/>
      <c r="AS820"/>
      <c r="AV820"/>
      <c r="AW820"/>
      <c r="AX820"/>
      <c r="AY820"/>
      <c r="AZ820"/>
      <c r="BA820"/>
    </row>
    <row r="821" spans="15:53" x14ac:dyDescent="0.25">
      <c r="O821"/>
      <c r="P821"/>
      <c r="Q821"/>
      <c r="R821"/>
      <c r="S821"/>
      <c r="T821"/>
      <c r="U821"/>
      <c r="V821"/>
      <c r="AF821"/>
      <c r="AG821"/>
      <c r="AH821"/>
      <c r="AI821"/>
      <c r="AJ821"/>
      <c r="AK821"/>
      <c r="AN821"/>
      <c r="AO821"/>
      <c r="AP821"/>
      <c r="AQ821"/>
      <c r="AR821"/>
      <c r="AS821"/>
      <c r="AV821"/>
      <c r="AW821"/>
      <c r="AX821"/>
      <c r="AY821"/>
      <c r="AZ821"/>
      <c r="BA821"/>
    </row>
    <row r="822" spans="15:53" x14ac:dyDescent="0.25">
      <c r="O822"/>
      <c r="P822"/>
      <c r="Q822"/>
      <c r="R822"/>
      <c r="S822"/>
      <c r="T822"/>
      <c r="U822"/>
      <c r="V822"/>
      <c r="AF822"/>
      <c r="AG822"/>
      <c r="AH822"/>
      <c r="AI822"/>
      <c r="AJ822"/>
      <c r="AK822"/>
      <c r="AN822"/>
      <c r="AO822"/>
      <c r="AP822"/>
      <c r="AQ822"/>
      <c r="AR822"/>
      <c r="AS822"/>
      <c r="AV822"/>
      <c r="AW822"/>
      <c r="AX822"/>
      <c r="AY822"/>
      <c r="AZ822"/>
      <c r="BA822"/>
    </row>
    <row r="823" spans="15:53" x14ac:dyDescent="0.25">
      <c r="O823"/>
      <c r="P823"/>
      <c r="Q823"/>
      <c r="R823"/>
      <c r="S823"/>
      <c r="T823"/>
      <c r="U823"/>
      <c r="V823"/>
      <c r="AF823"/>
      <c r="AG823"/>
      <c r="AH823"/>
      <c r="AI823"/>
      <c r="AJ823"/>
      <c r="AK823"/>
      <c r="AN823"/>
      <c r="AO823"/>
      <c r="AP823"/>
      <c r="AQ823"/>
      <c r="AR823"/>
      <c r="AS823"/>
      <c r="AV823"/>
      <c r="AW823"/>
      <c r="AX823"/>
      <c r="AY823"/>
      <c r="AZ823"/>
      <c r="BA823"/>
    </row>
    <row r="824" spans="15:53" x14ac:dyDescent="0.25">
      <c r="O824"/>
      <c r="P824"/>
      <c r="Q824"/>
      <c r="R824"/>
      <c r="S824"/>
      <c r="T824"/>
      <c r="U824"/>
      <c r="V824"/>
      <c r="AF824"/>
      <c r="AG824"/>
      <c r="AH824"/>
      <c r="AI824"/>
      <c r="AJ824"/>
      <c r="AK824"/>
      <c r="AN824"/>
      <c r="AO824"/>
      <c r="AP824"/>
      <c r="AQ824"/>
      <c r="AR824"/>
      <c r="AS824"/>
      <c r="AV824"/>
      <c r="AW824"/>
      <c r="AX824"/>
      <c r="AY824"/>
      <c r="AZ824"/>
      <c r="BA824"/>
    </row>
    <row r="825" spans="15:53" x14ac:dyDescent="0.25">
      <c r="O825"/>
      <c r="P825"/>
      <c r="Q825"/>
      <c r="R825"/>
      <c r="S825"/>
      <c r="T825"/>
      <c r="U825"/>
      <c r="V825"/>
      <c r="AF825"/>
      <c r="AG825"/>
      <c r="AH825"/>
      <c r="AI825"/>
      <c r="AJ825"/>
      <c r="AK825"/>
      <c r="AN825"/>
      <c r="AO825"/>
      <c r="AP825"/>
      <c r="AQ825"/>
      <c r="AR825"/>
      <c r="AS825"/>
      <c r="AV825"/>
      <c r="AW825"/>
      <c r="AX825"/>
      <c r="AY825"/>
      <c r="AZ825"/>
      <c r="BA825"/>
    </row>
    <row r="826" spans="15:53" x14ac:dyDescent="0.25">
      <c r="O826"/>
      <c r="P826"/>
      <c r="Q826"/>
      <c r="R826"/>
      <c r="S826"/>
      <c r="T826"/>
      <c r="U826"/>
      <c r="V826"/>
      <c r="AF826"/>
      <c r="AG826"/>
      <c r="AH826"/>
      <c r="AI826"/>
      <c r="AJ826"/>
      <c r="AK826"/>
      <c r="AN826"/>
      <c r="AO826"/>
      <c r="AP826"/>
      <c r="AQ826"/>
      <c r="AR826"/>
      <c r="AS826"/>
      <c r="AV826"/>
      <c r="AW826"/>
      <c r="AX826"/>
      <c r="AY826"/>
      <c r="AZ826"/>
      <c r="BA826"/>
    </row>
    <row r="827" spans="15:53" x14ac:dyDescent="0.25">
      <c r="O827"/>
      <c r="P827"/>
      <c r="Q827"/>
      <c r="R827"/>
      <c r="S827"/>
      <c r="T827"/>
      <c r="U827"/>
      <c r="V827"/>
      <c r="AF827"/>
      <c r="AG827"/>
      <c r="AH827"/>
      <c r="AI827"/>
      <c r="AJ827"/>
      <c r="AK827"/>
      <c r="AN827"/>
      <c r="AO827"/>
      <c r="AP827"/>
      <c r="AQ827"/>
      <c r="AR827"/>
      <c r="AS827"/>
      <c r="AV827"/>
      <c r="AW827"/>
      <c r="AX827"/>
      <c r="AY827"/>
      <c r="AZ827"/>
      <c r="BA827"/>
    </row>
    <row r="828" spans="15:53" x14ac:dyDescent="0.25">
      <c r="O828"/>
      <c r="P828"/>
      <c r="Q828"/>
      <c r="R828"/>
      <c r="S828"/>
      <c r="T828"/>
      <c r="U828"/>
      <c r="V828"/>
      <c r="AF828"/>
      <c r="AG828"/>
      <c r="AH828"/>
      <c r="AI828"/>
      <c r="AJ828"/>
      <c r="AK828"/>
      <c r="AN828"/>
      <c r="AO828"/>
      <c r="AP828"/>
      <c r="AQ828"/>
      <c r="AR828"/>
      <c r="AS828"/>
      <c r="AV828"/>
      <c r="AW828"/>
      <c r="AX828"/>
      <c r="AY828"/>
      <c r="AZ828"/>
      <c r="BA828"/>
    </row>
    <row r="829" spans="15:53" x14ac:dyDescent="0.25">
      <c r="O829"/>
      <c r="P829"/>
      <c r="Q829"/>
      <c r="R829"/>
      <c r="S829"/>
      <c r="T829"/>
      <c r="U829"/>
      <c r="V829"/>
      <c r="AF829"/>
      <c r="AG829"/>
      <c r="AH829"/>
      <c r="AI829"/>
      <c r="AJ829"/>
      <c r="AK829"/>
      <c r="AN829"/>
      <c r="AO829"/>
      <c r="AP829"/>
      <c r="AQ829"/>
      <c r="AR829"/>
      <c r="AS829"/>
      <c r="AV829"/>
      <c r="AW829"/>
      <c r="AX829"/>
      <c r="AY829"/>
      <c r="AZ829"/>
      <c r="BA829"/>
    </row>
    <row r="830" spans="15:53" x14ac:dyDescent="0.25">
      <c r="O830"/>
      <c r="P830"/>
      <c r="Q830"/>
      <c r="R830"/>
      <c r="S830"/>
      <c r="T830"/>
      <c r="U830"/>
      <c r="V830"/>
      <c r="AF830"/>
      <c r="AG830"/>
      <c r="AH830"/>
      <c r="AI830"/>
      <c r="AJ830"/>
      <c r="AK830"/>
      <c r="AN830"/>
      <c r="AO830"/>
      <c r="AP830"/>
      <c r="AQ830"/>
      <c r="AR830"/>
      <c r="AS830"/>
      <c r="AV830"/>
      <c r="AW830"/>
      <c r="AX830"/>
      <c r="AY830"/>
      <c r="AZ830"/>
      <c r="BA830"/>
    </row>
    <row r="831" spans="15:53" x14ac:dyDescent="0.25">
      <c r="O831"/>
      <c r="P831"/>
      <c r="Q831"/>
      <c r="R831"/>
      <c r="S831"/>
      <c r="T831"/>
      <c r="U831"/>
      <c r="V831"/>
      <c r="AF831"/>
      <c r="AG831"/>
      <c r="AH831"/>
      <c r="AI831"/>
      <c r="AJ831"/>
      <c r="AK831"/>
      <c r="AN831"/>
      <c r="AO831"/>
      <c r="AP831"/>
      <c r="AQ831"/>
      <c r="AR831"/>
      <c r="AS831"/>
      <c r="AV831"/>
      <c r="AW831"/>
      <c r="AX831"/>
      <c r="AY831"/>
      <c r="AZ831"/>
      <c r="BA831"/>
    </row>
    <row r="832" spans="15:53" x14ac:dyDescent="0.25">
      <c r="O832"/>
      <c r="P832"/>
      <c r="Q832"/>
      <c r="R832"/>
      <c r="S832"/>
      <c r="T832"/>
      <c r="U832"/>
      <c r="V832"/>
      <c r="AF832"/>
      <c r="AG832"/>
      <c r="AH832"/>
      <c r="AI832"/>
      <c r="AJ832"/>
      <c r="AK832"/>
      <c r="AN832"/>
      <c r="AO832"/>
      <c r="AP832"/>
      <c r="AQ832"/>
      <c r="AR832"/>
      <c r="AS832"/>
      <c r="AV832"/>
      <c r="AW832"/>
      <c r="AX832"/>
      <c r="AY832"/>
      <c r="AZ832"/>
      <c r="BA832"/>
    </row>
    <row r="833" spans="15:53" x14ac:dyDescent="0.25">
      <c r="O833"/>
      <c r="P833"/>
      <c r="Q833"/>
      <c r="R833"/>
      <c r="S833"/>
      <c r="T833"/>
      <c r="U833"/>
      <c r="V833"/>
      <c r="AF833"/>
      <c r="AG833"/>
      <c r="AH833"/>
      <c r="AI833"/>
      <c r="AJ833"/>
      <c r="AK833"/>
      <c r="AN833"/>
      <c r="AO833"/>
      <c r="AP833"/>
      <c r="AQ833"/>
      <c r="AR833"/>
      <c r="AS833"/>
      <c r="AV833"/>
      <c r="AW833"/>
      <c r="AX833"/>
      <c r="AY833"/>
      <c r="AZ833"/>
      <c r="BA833"/>
    </row>
    <row r="834" spans="15:53" x14ac:dyDescent="0.25">
      <c r="O834"/>
      <c r="P834"/>
      <c r="Q834"/>
      <c r="R834"/>
      <c r="S834"/>
      <c r="T834"/>
      <c r="U834"/>
      <c r="V834"/>
      <c r="AF834"/>
      <c r="AG834"/>
      <c r="AH834"/>
      <c r="AI834"/>
      <c r="AJ834"/>
      <c r="AK834"/>
      <c r="AN834"/>
      <c r="AO834"/>
      <c r="AP834"/>
      <c r="AQ834"/>
      <c r="AR834"/>
      <c r="AS834"/>
      <c r="AV834"/>
      <c r="AW834"/>
      <c r="AX834"/>
      <c r="AY834"/>
      <c r="AZ834"/>
      <c r="BA834"/>
    </row>
    <row r="835" spans="15:53" x14ac:dyDescent="0.25">
      <c r="O835"/>
      <c r="P835"/>
      <c r="Q835"/>
      <c r="R835"/>
      <c r="S835"/>
      <c r="T835"/>
      <c r="U835"/>
      <c r="V835"/>
      <c r="AF835"/>
      <c r="AG835"/>
      <c r="AH835"/>
      <c r="AI835"/>
      <c r="AJ835"/>
      <c r="AK835"/>
      <c r="AN835"/>
      <c r="AO835"/>
      <c r="AP835"/>
      <c r="AQ835"/>
      <c r="AR835"/>
      <c r="AS835"/>
      <c r="AV835"/>
      <c r="AW835"/>
      <c r="AX835"/>
      <c r="AY835"/>
      <c r="AZ835"/>
      <c r="BA835"/>
    </row>
    <row r="836" spans="15:53" x14ac:dyDescent="0.25">
      <c r="O836"/>
      <c r="P836"/>
      <c r="Q836"/>
      <c r="R836"/>
      <c r="S836"/>
      <c r="T836"/>
      <c r="U836"/>
      <c r="V836"/>
      <c r="AF836"/>
      <c r="AG836"/>
      <c r="AH836"/>
      <c r="AI836"/>
      <c r="AJ836"/>
      <c r="AK836"/>
      <c r="AN836"/>
      <c r="AO836"/>
      <c r="AP836"/>
      <c r="AQ836"/>
      <c r="AR836"/>
      <c r="AS836"/>
      <c r="AV836"/>
      <c r="AW836"/>
      <c r="AX836"/>
      <c r="AY836"/>
      <c r="AZ836"/>
      <c r="BA836"/>
    </row>
    <row r="837" spans="15:53" x14ac:dyDescent="0.25">
      <c r="O837"/>
      <c r="P837"/>
      <c r="Q837"/>
      <c r="R837"/>
      <c r="S837"/>
      <c r="T837"/>
      <c r="U837"/>
      <c r="V837"/>
      <c r="AF837"/>
      <c r="AG837"/>
      <c r="AH837"/>
      <c r="AI837"/>
      <c r="AJ837"/>
      <c r="AK837"/>
      <c r="AN837"/>
      <c r="AO837"/>
      <c r="AP837"/>
      <c r="AQ837"/>
      <c r="AR837"/>
      <c r="AS837"/>
      <c r="AV837"/>
      <c r="AW837"/>
      <c r="AX837"/>
      <c r="AY837"/>
      <c r="AZ837"/>
      <c r="BA837"/>
    </row>
    <row r="838" spans="15:53" x14ac:dyDescent="0.25">
      <c r="O838"/>
      <c r="P838"/>
      <c r="Q838"/>
      <c r="R838"/>
      <c r="S838"/>
      <c r="T838"/>
      <c r="U838"/>
      <c r="V838"/>
      <c r="AF838"/>
      <c r="AG838"/>
      <c r="AH838"/>
      <c r="AI838"/>
      <c r="AJ838"/>
      <c r="AK838"/>
      <c r="AN838"/>
      <c r="AO838"/>
      <c r="AP838"/>
      <c r="AQ838"/>
      <c r="AR838"/>
      <c r="AS838"/>
      <c r="AV838"/>
      <c r="AW838"/>
      <c r="AX838"/>
      <c r="AY838"/>
      <c r="AZ838"/>
      <c r="BA838"/>
    </row>
    <row r="839" spans="15:53" x14ac:dyDescent="0.25">
      <c r="O839"/>
      <c r="P839"/>
      <c r="Q839"/>
      <c r="R839"/>
      <c r="S839"/>
      <c r="T839"/>
      <c r="U839"/>
      <c r="V839"/>
      <c r="AF839"/>
      <c r="AG839"/>
      <c r="AH839"/>
      <c r="AI839"/>
      <c r="AJ839"/>
      <c r="AK839"/>
      <c r="AN839"/>
      <c r="AO839"/>
      <c r="AP839"/>
      <c r="AQ839"/>
      <c r="AR839"/>
      <c r="AS839"/>
      <c r="AV839"/>
      <c r="AW839"/>
      <c r="AX839"/>
      <c r="AY839"/>
      <c r="AZ839"/>
      <c r="BA839"/>
    </row>
    <row r="840" spans="15:53" x14ac:dyDescent="0.25">
      <c r="O840"/>
      <c r="P840"/>
      <c r="Q840"/>
      <c r="R840"/>
      <c r="S840"/>
      <c r="T840"/>
      <c r="U840"/>
      <c r="V840"/>
      <c r="AF840"/>
      <c r="AG840"/>
      <c r="AH840"/>
      <c r="AI840"/>
      <c r="AJ840"/>
      <c r="AK840"/>
      <c r="AN840"/>
      <c r="AO840"/>
      <c r="AP840"/>
      <c r="AQ840"/>
      <c r="AR840"/>
      <c r="AS840"/>
      <c r="AV840"/>
      <c r="AW840"/>
      <c r="AX840"/>
      <c r="AY840"/>
      <c r="AZ840"/>
      <c r="BA840"/>
    </row>
    <row r="841" spans="15:53" x14ac:dyDescent="0.25">
      <c r="O841"/>
      <c r="P841"/>
      <c r="Q841"/>
      <c r="R841"/>
      <c r="S841"/>
      <c r="T841"/>
      <c r="U841"/>
      <c r="V841"/>
      <c r="AF841"/>
      <c r="AG841"/>
      <c r="AH841"/>
      <c r="AI841"/>
      <c r="AJ841"/>
      <c r="AK841"/>
      <c r="AN841"/>
      <c r="AO841"/>
      <c r="AP841"/>
      <c r="AQ841"/>
      <c r="AR841"/>
      <c r="AS841"/>
      <c r="AV841"/>
      <c r="AW841"/>
      <c r="AX841"/>
      <c r="AY841"/>
      <c r="AZ841"/>
      <c r="BA841"/>
    </row>
    <row r="842" spans="15:53" x14ac:dyDescent="0.25">
      <c r="O842"/>
      <c r="P842"/>
      <c r="Q842"/>
      <c r="R842"/>
      <c r="S842"/>
      <c r="T842"/>
      <c r="U842"/>
      <c r="V842"/>
      <c r="AF842"/>
      <c r="AG842"/>
      <c r="AH842"/>
      <c r="AI842"/>
      <c r="AJ842"/>
      <c r="AK842"/>
      <c r="AN842"/>
      <c r="AO842"/>
      <c r="AP842"/>
      <c r="AQ842"/>
      <c r="AR842"/>
      <c r="AS842"/>
      <c r="AV842"/>
      <c r="AW842"/>
      <c r="AX842"/>
      <c r="AY842"/>
      <c r="AZ842"/>
      <c r="BA842"/>
    </row>
    <row r="843" spans="15:53" x14ac:dyDescent="0.25">
      <c r="O843"/>
      <c r="P843"/>
      <c r="Q843"/>
      <c r="R843"/>
      <c r="S843"/>
      <c r="T843"/>
      <c r="U843"/>
      <c r="V843"/>
      <c r="AF843"/>
      <c r="AG843"/>
      <c r="AH843"/>
      <c r="AI843"/>
      <c r="AJ843"/>
      <c r="AK843"/>
      <c r="AN843"/>
      <c r="AO843"/>
      <c r="AP843"/>
      <c r="AQ843"/>
      <c r="AR843"/>
      <c r="AS843"/>
      <c r="AV843"/>
      <c r="AW843"/>
      <c r="AX843"/>
      <c r="AY843"/>
      <c r="AZ843"/>
      <c r="BA843"/>
    </row>
    <row r="844" spans="15:53" x14ac:dyDescent="0.25">
      <c r="O844"/>
      <c r="P844"/>
      <c r="Q844"/>
      <c r="R844"/>
      <c r="S844"/>
      <c r="T844"/>
      <c r="U844"/>
      <c r="V844"/>
      <c r="AF844"/>
      <c r="AG844"/>
      <c r="AH844"/>
      <c r="AI844"/>
      <c r="AJ844"/>
      <c r="AK844"/>
      <c r="AN844"/>
      <c r="AO844"/>
      <c r="AP844"/>
      <c r="AQ844"/>
      <c r="AR844"/>
      <c r="AS844"/>
      <c r="AV844"/>
      <c r="AW844"/>
      <c r="AX844"/>
      <c r="AY844"/>
      <c r="AZ844"/>
      <c r="BA844"/>
    </row>
    <row r="845" spans="15:53" x14ac:dyDescent="0.25">
      <c r="O845"/>
      <c r="P845"/>
      <c r="Q845"/>
      <c r="R845"/>
      <c r="S845"/>
      <c r="T845"/>
      <c r="U845"/>
      <c r="V845"/>
      <c r="AF845"/>
      <c r="AG845"/>
      <c r="AH845"/>
      <c r="AI845"/>
      <c r="AJ845"/>
      <c r="AK845"/>
      <c r="AN845"/>
      <c r="AO845"/>
      <c r="AP845"/>
      <c r="AQ845"/>
      <c r="AR845"/>
      <c r="AS845"/>
      <c r="AV845"/>
      <c r="AW845"/>
      <c r="AX845"/>
      <c r="AY845"/>
      <c r="AZ845"/>
      <c r="BA845"/>
    </row>
    <row r="846" spans="15:53" x14ac:dyDescent="0.25">
      <c r="O846"/>
      <c r="P846"/>
      <c r="Q846"/>
      <c r="R846"/>
      <c r="S846"/>
      <c r="T846"/>
      <c r="U846"/>
      <c r="V846"/>
      <c r="AF846"/>
      <c r="AG846"/>
      <c r="AH846"/>
      <c r="AI846"/>
      <c r="AJ846"/>
      <c r="AK846"/>
      <c r="AN846"/>
      <c r="AO846"/>
      <c r="AP846"/>
      <c r="AQ846"/>
      <c r="AR846"/>
      <c r="AS846"/>
      <c r="AV846"/>
      <c r="AW846"/>
      <c r="AX846"/>
      <c r="AY846"/>
      <c r="AZ846"/>
      <c r="BA846"/>
    </row>
    <row r="847" spans="15:53" x14ac:dyDescent="0.25">
      <c r="O847"/>
      <c r="P847"/>
      <c r="Q847"/>
      <c r="R847"/>
      <c r="S847"/>
      <c r="T847"/>
      <c r="U847"/>
      <c r="V847"/>
      <c r="AF847"/>
      <c r="AG847"/>
      <c r="AH847"/>
      <c r="AI847"/>
      <c r="AJ847"/>
      <c r="AK847"/>
      <c r="AN847"/>
      <c r="AO847"/>
      <c r="AP847"/>
      <c r="AQ847"/>
      <c r="AR847"/>
      <c r="AS847"/>
      <c r="AV847"/>
      <c r="AW847"/>
      <c r="AX847"/>
      <c r="AY847"/>
      <c r="AZ847"/>
      <c r="BA847"/>
    </row>
    <row r="848" spans="15:53" x14ac:dyDescent="0.25">
      <c r="O848"/>
      <c r="P848"/>
      <c r="Q848"/>
      <c r="R848"/>
      <c r="S848"/>
      <c r="T848"/>
      <c r="U848"/>
      <c r="V848"/>
      <c r="AF848"/>
      <c r="AG848"/>
      <c r="AH848"/>
      <c r="AI848"/>
      <c r="AJ848"/>
      <c r="AK848"/>
      <c r="AN848"/>
      <c r="AO848"/>
      <c r="AP848"/>
      <c r="AQ848"/>
      <c r="AR848"/>
      <c r="AS848"/>
      <c r="AV848"/>
      <c r="AW848"/>
      <c r="AX848"/>
      <c r="AY848"/>
      <c r="AZ848"/>
      <c r="BA848"/>
    </row>
    <row r="849" spans="15:53" x14ac:dyDescent="0.25">
      <c r="O849"/>
      <c r="P849"/>
      <c r="Q849"/>
      <c r="R849"/>
      <c r="S849"/>
      <c r="T849"/>
      <c r="U849"/>
      <c r="V849"/>
      <c r="AF849"/>
      <c r="AG849"/>
      <c r="AH849"/>
      <c r="AI849"/>
      <c r="AJ849"/>
      <c r="AK849"/>
      <c r="AN849"/>
      <c r="AO849"/>
      <c r="AP849"/>
      <c r="AQ849"/>
      <c r="AR849"/>
      <c r="AS849"/>
      <c r="AV849"/>
      <c r="AW849"/>
      <c r="AX849"/>
      <c r="AY849"/>
      <c r="AZ849"/>
      <c r="BA849"/>
    </row>
    <row r="850" spans="15:53" x14ac:dyDescent="0.25">
      <c r="O850"/>
      <c r="P850"/>
      <c r="Q850"/>
      <c r="R850"/>
      <c r="S850"/>
      <c r="T850"/>
      <c r="U850"/>
      <c r="V850"/>
      <c r="AF850"/>
      <c r="AG850"/>
      <c r="AH850"/>
      <c r="AI850"/>
      <c r="AJ850"/>
      <c r="AK850"/>
      <c r="AN850"/>
      <c r="AO850"/>
      <c r="AP850"/>
      <c r="AQ850"/>
      <c r="AR850"/>
      <c r="AS850"/>
      <c r="AV850"/>
      <c r="AW850"/>
      <c r="AX850"/>
      <c r="AY850"/>
      <c r="AZ850"/>
      <c r="BA850"/>
    </row>
    <row r="851" spans="15:53" x14ac:dyDescent="0.25">
      <c r="O851"/>
      <c r="P851"/>
      <c r="Q851"/>
      <c r="R851"/>
      <c r="S851"/>
      <c r="T851"/>
      <c r="U851"/>
      <c r="V851"/>
      <c r="AF851"/>
      <c r="AG851"/>
      <c r="AH851"/>
      <c r="AI851"/>
      <c r="AJ851"/>
      <c r="AK851"/>
      <c r="AN851"/>
      <c r="AO851"/>
      <c r="AP851"/>
      <c r="AQ851"/>
      <c r="AR851"/>
      <c r="AS851"/>
      <c r="AV851"/>
      <c r="AW851"/>
      <c r="AX851"/>
      <c r="AY851"/>
      <c r="AZ851"/>
      <c r="BA851"/>
    </row>
    <row r="852" spans="15:53" x14ac:dyDescent="0.25">
      <c r="O852"/>
      <c r="P852"/>
      <c r="Q852"/>
      <c r="R852"/>
      <c r="S852"/>
      <c r="T852"/>
      <c r="U852"/>
      <c r="V852"/>
      <c r="AF852"/>
      <c r="AG852"/>
      <c r="AH852"/>
      <c r="AI852"/>
      <c r="AJ852"/>
      <c r="AK852"/>
      <c r="AN852"/>
      <c r="AO852"/>
      <c r="AP852"/>
      <c r="AQ852"/>
      <c r="AR852"/>
      <c r="AS852"/>
      <c r="AV852"/>
      <c r="AW852"/>
      <c r="AX852"/>
      <c r="AY852"/>
      <c r="AZ852"/>
      <c r="BA852"/>
    </row>
    <row r="853" spans="15:53" x14ac:dyDescent="0.25">
      <c r="O853"/>
      <c r="P853"/>
      <c r="Q853"/>
      <c r="R853"/>
      <c r="S853"/>
      <c r="T853"/>
      <c r="U853"/>
      <c r="V853"/>
      <c r="AF853"/>
      <c r="AG853"/>
      <c r="AH853"/>
      <c r="AI853"/>
      <c r="AJ853"/>
      <c r="AK853"/>
      <c r="AN853"/>
      <c r="AO853"/>
      <c r="AP853"/>
      <c r="AQ853"/>
      <c r="AR853"/>
      <c r="AS853"/>
      <c r="AV853"/>
      <c r="AW853"/>
      <c r="AX853"/>
      <c r="AY853"/>
      <c r="AZ853"/>
      <c r="BA853"/>
    </row>
    <row r="854" spans="15:53" x14ac:dyDescent="0.25">
      <c r="O854"/>
      <c r="P854"/>
      <c r="Q854"/>
      <c r="R854"/>
      <c r="S854"/>
      <c r="T854"/>
      <c r="U854"/>
      <c r="V854"/>
      <c r="AF854"/>
      <c r="AG854"/>
      <c r="AH854"/>
      <c r="AI854"/>
      <c r="AJ854"/>
      <c r="AK854"/>
      <c r="AN854"/>
      <c r="AO854"/>
      <c r="AP854"/>
      <c r="AQ854"/>
      <c r="AR854"/>
      <c r="AS854"/>
      <c r="AV854"/>
      <c r="AW854"/>
      <c r="AX854"/>
      <c r="AY854"/>
      <c r="AZ854"/>
      <c r="BA854"/>
    </row>
    <row r="855" spans="15:53" x14ac:dyDescent="0.25">
      <c r="O855"/>
      <c r="P855"/>
      <c r="Q855"/>
      <c r="R855"/>
      <c r="S855"/>
      <c r="T855"/>
      <c r="U855"/>
      <c r="V855"/>
      <c r="AF855"/>
      <c r="AG855"/>
      <c r="AH855"/>
      <c r="AI855"/>
      <c r="AJ855"/>
      <c r="AK855"/>
      <c r="AN855"/>
      <c r="AO855"/>
      <c r="AP855"/>
      <c r="AQ855"/>
      <c r="AR855"/>
      <c r="AS855"/>
      <c r="AV855"/>
      <c r="AW855"/>
      <c r="AX855"/>
      <c r="AY855"/>
      <c r="AZ855"/>
      <c r="BA855"/>
    </row>
    <row r="856" spans="15:53" x14ac:dyDescent="0.25">
      <c r="O856"/>
      <c r="P856"/>
      <c r="Q856"/>
      <c r="R856"/>
      <c r="S856"/>
      <c r="T856"/>
      <c r="U856"/>
      <c r="V856"/>
      <c r="AF856"/>
      <c r="AG856"/>
      <c r="AH856"/>
      <c r="AI856"/>
      <c r="AJ856"/>
      <c r="AK856"/>
      <c r="AN856"/>
      <c r="AO856"/>
      <c r="AP856"/>
      <c r="AQ856"/>
      <c r="AR856"/>
      <c r="AS856"/>
      <c r="AV856"/>
      <c r="AW856"/>
      <c r="AX856"/>
      <c r="AY856"/>
      <c r="AZ856"/>
      <c r="BA856"/>
    </row>
    <row r="857" spans="15:53" x14ac:dyDescent="0.25">
      <c r="O857"/>
      <c r="P857"/>
      <c r="Q857"/>
      <c r="R857"/>
      <c r="S857"/>
      <c r="T857"/>
      <c r="U857"/>
      <c r="V857"/>
      <c r="AF857"/>
      <c r="AG857"/>
      <c r="AH857"/>
      <c r="AI857"/>
      <c r="AJ857"/>
      <c r="AK857"/>
      <c r="AN857"/>
      <c r="AO857"/>
      <c r="AP857"/>
      <c r="AQ857"/>
      <c r="AR857"/>
      <c r="AS857"/>
      <c r="AV857"/>
      <c r="AW857"/>
      <c r="AX857"/>
      <c r="AY857"/>
      <c r="AZ857"/>
      <c r="BA857"/>
    </row>
    <row r="858" spans="15:53" x14ac:dyDescent="0.25">
      <c r="O858"/>
      <c r="P858"/>
      <c r="Q858"/>
      <c r="R858"/>
      <c r="S858"/>
      <c r="T858"/>
      <c r="U858"/>
      <c r="V858"/>
      <c r="AF858"/>
      <c r="AG858"/>
      <c r="AH858"/>
      <c r="AI858"/>
      <c r="AJ858"/>
      <c r="AK858"/>
      <c r="AN858"/>
      <c r="AO858"/>
      <c r="AP858"/>
      <c r="AQ858"/>
      <c r="AR858"/>
      <c r="AS858"/>
      <c r="AV858"/>
      <c r="AW858"/>
      <c r="AX858"/>
      <c r="AY858"/>
      <c r="AZ858"/>
      <c r="BA858"/>
    </row>
    <row r="859" spans="15:53" x14ac:dyDescent="0.25">
      <c r="O859"/>
      <c r="P859"/>
      <c r="Q859"/>
      <c r="R859"/>
      <c r="S859"/>
      <c r="T859"/>
      <c r="U859"/>
      <c r="V859"/>
      <c r="AF859"/>
      <c r="AG859"/>
      <c r="AH859"/>
      <c r="AI859"/>
      <c r="AJ859"/>
      <c r="AK859"/>
      <c r="AN859"/>
      <c r="AO859"/>
      <c r="AP859"/>
      <c r="AQ859"/>
      <c r="AR859"/>
      <c r="AS859"/>
      <c r="AV859"/>
      <c r="AW859"/>
      <c r="AX859"/>
      <c r="AY859"/>
      <c r="AZ859"/>
      <c r="BA859"/>
    </row>
    <row r="860" spans="15:53" x14ac:dyDescent="0.25">
      <c r="O860"/>
      <c r="P860"/>
      <c r="Q860"/>
      <c r="R860"/>
      <c r="S860"/>
      <c r="T860"/>
      <c r="U860"/>
      <c r="V860"/>
      <c r="AF860"/>
      <c r="AG860"/>
      <c r="AH860"/>
      <c r="AI860"/>
      <c r="AJ860"/>
      <c r="AK860"/>
      <c r="AN860"/>
      <c r="AO860"/>
      <c r="AP860"/>
      <c r="AQ860"/>
      <c r="AR860"/>
      <c r="AS860"/>
      <c r="AV860"/>
      <c r="AW860"/>
      <c r="AX860"/>
      <c r="AY860"/>
      <c r="AZ860"/>
      <c r="BA860"/>
    </row>
    <row r="861" spans="15:53" x14ac:dyDescent="0.25">
      <c r="O861"/>
      <c r="P861"/>
      <c r="Q861"/>
      <c r="R861"/>
      <c r="S861"/>
      <c r="T861"/>
      <c r="U861"/>
      <c r="V861"/>
      <c r="AF861"/>
      <c r="AG861"/>
      <c r="AH861"/>
      <c r="AI861"/>
      <c r="AJ861"/>
      <c r="AK861"/>
      <c r="AN861"/>
      <c r="AO861"/>
      <c r="AP861"/>
      <c r="AQ861"/>
      <c r="AR861"/>
      <c r="AS861"/>
      <c r="AV861"/>
      <c r="AW861"/>
      <c r="AX861"/>
      <c r="AY861"/>
      <c r="AZ861"/>
      <c r="BA861"/>
    </row>
    <row r="862" spans="15:53" x14ac:dyDescent="0.25">
      <c r="O862"/>
      <c r="P862"/>
      <c r="Q862"/>
      <c r="R862"/>
      <c r="S862"/>
      <c r="T862"/>
      <c r="U862"/>
      <c r="V862"/>
      <c r="AF862"/>
      <c r="AG862"/>
      <c r="AH862"/>
      <c r="AI862"/>
      <c r="AJ862"/>
      <c r="AK862"/>
      <c r="AN862"/>
      <c r="AO862"/>
      <c r="AP862"/>
      <c r="AQ862"/>
      <c r="AR862"/>
      <c r="AS862"/>
      <c r="AV862"/>
      <c r="AW862"/>
      <c r="AX862"/>
      <c r="AY862"/>
      <c r="AZ862"/>
      <c r="BA862"/>
    </row>
    <row r="863" spans="15:53" x14ac:dyDescent="0.25">
      <c r="O863"/>
      <c r="P863"/>
      <c r="Q863"/>
      <c r="R863"/>
      <c r="S863"/>
      <c r="T863"/>
      <c r="U863"/>
      <c r="V863"/>
      <c r="AF863"/>
      <c r="AG863"/>
      <c r="AH863"/>
      <c r="AI863"/>
      <c r="AJ863"/>
      <c r="AK863"/>
      <c r="AN863"/>
      <c r="AO863"/>
      <c r="AP863"/>
      <c r="AQ863"/>
      <c r="AR863"/>
      <c r="AS863"/>
      <c r="AV863"/>
      <c r="AW863"/>
      <c r="AX863"/>
      <c r="AY863"/>
      <c r="AZ863"/>
      <c r="BA863"/>
    </row>
    <row r="864" spans="15:53" x14ac:dyDescent="0.25">
      <c r="O864"/>
      <c r="P864"/>
      <c r="Q864"/>
      <c r="R864"/>
      <c r="S864"/>
      <c r="T864"/>
      <c r="U864"/>
      <c r="V864"/>
      <c r="AF864"/>
      <c r="AG864"/>
      <c r="AH864"/>
      <c r="AI864"/>
      <c r="AJ864"/>
      <c r="AK864"/>
      <c r="AN864"/>
      <c r="AO864"/>
      <c r="AP864"/>
      <c r="AQ864"/>
      <c r="AR864"/>
      <c r="AS864"/>
      <c r="AV864"/>
      <c r="AW864"/>
      <c r="AX864"/>
      <c r="AY864"/>
      <c r="AZ864"/>
      <c r="BA864"/>
    </row>
    <row r="865" spans="15:53" x14ac:dyDescent="0.25">
      <c r="O865"/>
      <c r="P865"/>
      <c r="Q865"/>
      <c r="R865"/>
      <c r="S865"/>
      <c r="T865"/>
      <c r="U865"/>
      <c r="V865"/>
      <c r="AF865"/>
      <c r="AG865"/>
      <c r="AH865"/>
      <c r="AI865"/>
      <c r="AJ865"/>
      <c r="AK865"/>
      <c r="AN865"/>
      <c r="AO865"/>
      <c r="AP865"/>
      <c r="AQ865"/>
      <c r="AR865"/>
      <c r="AS865"/>
      <c r="AV865"/>
      <c r="AW865"/>
      <c r="AX865"/>
      <c r="AY865"/>
      <c r="AZ865"/>
      <c r="BA865"/>
    </row>
    <row r="866" spans="15:53" x14ac:dyDescent="0.25">
      <c r="O866"/>
      <c r="P866"/>
      <c r="Q866"/>
      <c r="R866"/>
      <c r="S866"/>
      <c r="T866"/>
      <c r="U866"/>
      <c r="V866"/>
      <c r="AF866"/>
      <c r="AG866"/>
      <c r="AH866"/>
      <c r="AI866"/>
      <c r="AJ866"/>
      <c r="AK866"/>
      <c r="AN866"/>
      <c r="AO866"/>
      <c r="AP866"/>
      <c r="AQ866"/>
      <c r="AR866"/>
      <c r="AS866"/>
      <c r="AV866"/>
      <c r="AW866"/>
      <c r="AX866"/>
      <c r="AY866"/>
      <c r="AZ866"/>
      <c r="BA866"/>
    </row>
    <row r="867" spans="15:53" x14ac:dyDescent="0.25">
      <c r="O867"/>
      <c r="P867"/>
      <c r="Q867"/>
      <c r="R867"/>
      <c r="S867"/>
      <c r="T867"/>
      <c r="U867"/>
      <c r="V867"/>
      <c r="AF867"/>
      <c r="AG867"/>
      <c r="AH867"/>
      <c r="AI867"/>
      <c r="AJ867"/>
      <c r="AK867"/>
      <c r="AN867"/>
      <c r="AO867"/>
      <c r="AP867"/>
      <c r="AQ867"/>
      <c r="AR867"/>
      <c r="AS867"/>
      <c r="AV867"/>
      <c r="AW867"/>
      <c r="AX867"/>
      <c r="AY867"/>
      <c r="AZ867"/>
      <c r="BA867"/>
    </row>
    <row r="868" spans="15:53" x14ac:dyDescent="0.25">
      <c r="O868"/>
      <c r="P868"/>
      <c r="Q868"/>
      <c r="R868"/>
      <c r="S868"/>
      <c r="T868"/>
      <c r="U868"/>
      <c r="V868"/>
      <c r="AF868"/>
      <c r="AG868"/>
      <c r="AH868"/>
      <c r="AI868"/>
      <c r="AJ868"/>
      <c r="AK868"/>
      <c r="AN868"/>
      <c r="AO868"/>
      <c r="AP868"/>
      <c r="AQ868"/>
      <c r="AR868"/>
      <c r="AS868"/>
      <c r="AV868"/>
      <c r="AW868"/>
      <c r="AX868"/>
      <c r="AY868"/>
      <c r="AZ868"/>
      <c r="BA868"/>
    </row>
    <row r="869" spans="15:53" x14ac:dyDescent="0.25">
      <c r="O869"/>
      <c r="P869"/>
      <c r="Q869"/>
      <c r="R869"/>
      <c r="S869"/>
      <c r="T869"/>
      <c r="U869"/>
      <c r="V869"/>
      <c r="AF869"/>
      <c r="AG869"/>
      <c r="AH869"/>
      <c r="AI869"/>
      <c r="AJ869"/>
      <c r="AK869"/>
      <c r="AN869"/>
      <c r="AO869"/>
      <c r="AP869"/>
      <c r="AQ869"/>
      <c r="AR869"/>
      <c r="AS869"/>
      <c r="AV869"/>
      <c r="AW869"/>
      <c r="AX869"/>
      <c r="AY869"/>
      <c r="AZ869"/>
      <c r="BA869"/>
    </row>
    <row r="870" spans="15:53" x14ac:dyDescent="0.25">
      <c r="O870"/>
      <c r="P870"/>
      <c r="Q870"/>
      <c r="R870"/>
      <c r="S870"/>
      <c r="T870"/>
      <c r="U870"/>
      <c r="V870"/>
      <c r="AF870"/>
      <c r="AG870"/>
      <c r="AH870"/>
      <c r="AI870"/>
      <c r="AJ870"/>
      <c r="AK870"/>
      <c r="AN870"/>
      <c r="AO870"/>
      <c r="AP870"/>
      <c r="AQ870"/>
      <c r="AR870"/>
      <c r="AS870"/>
      <c r="AV870"/>
      <c r="AW870"/>
      <c r="AX870"/>
      <c r="AY870"/>
      <c r="AZ870"/>
      <c r="BA870"/>
    </row>
    <row r="871" spans="15:53" x14ac:dyDescent="0.25">
      <c r="O871"/>
      <c r="P871"/>
      <c r="Q871"/>
      <c r="R871"/>
      <c r="S871"/>
      <c r="T871"/>
      <c r="U871"/>
      <c r="V871"/>
      <c r="AF871"/>
      <c r="AG871"/>
      <c r="AH871"/>
      <c r="AI871"/>
      <c r="AJ871"/>
      <c r="AK871"/>
      <c r="AN871"/>
      <c r="AO871"/>
      <c r="AP871"/>
      <c r="AQ871"/>
      <c r="AR871"/>
      <c r="AS871"/>
      <c r="AV871"/>
      <c r="AW871"/>
      <c r="AX871"/>
      <c r="AY871"/>
      <c r="AZ871"/>
      <c r="BA871"/>
    </row>
    <row r="872" spans="15:53" x14ac:dyDescent="0.25">
      <c r="O872"/>
      <c r="P872"/>
      <c r="Q872"/>
      <c r="R872"/>
      <c r="S872"/>
      <c r="T872"/>
      <c r="U872"/>
      <c r="V872"/>
      <c r="AF872"/>
      <c r="AG872"/>
      <c r="AH872"/>
      <c r="AI872"/>
      <c r="AJ872"/>
      <c r="AK872"/>
      <c r="AN872"/>
      <c r="AO872"/>
      <c r="AP872"/>
      <c r="AQ872"/>
      <c r="AR872"/>
      <c r="AS872"/>
      <c r="AV872"/>
      <c r="AW872"/>
      <c r="AX872"/>
      <c r="AY872"/>
      <c r="AZ872"/>
      <c r="BA872"/>
    </row>
    <row r="873" spans="15:53" x14ac:dyDescent="0.25">
      <c r="O873"/>
      <c r="P873"/>
      <c r="Q873"/>
      <c r="R873"/>
      <c r="S873"/>
      <c r="T873"/>
      <c r="U873"/>
      <c r="V873"/>
      <c r="AF873"/>
      <c r="AG873"/>
      <c r="AH873"/>
      <c r="AI873"/>
      <c r="AJ873"/>
      <c r="AK873"/>
      <c r="AN873"/>
      <c r="AO873"/>
      <c r="AP873"/>
      <c r="AQ873"/>
      <c r="AR873"/>
      <c r="AS873"/>
      <c r="AV873"/>
      <c r="AW873"/>
      <c r="AX873"/>
      <c r="AY873"/>
      <c r="AZ873"/>
      <c r="BA873"/>
    </row>
    <row r="874" spans="15:53" x14ac:dyDescent="0.25">
      <c r="O874"/>
      <c r="P874"/>
      <c r="Q874"/>
      <c r="R874"/>
      <c r="S874"/>
      <c r="T874"/>
      <c r="U874"/>
      <c r="V874"/>
      <c r="AF874"/>
      <c r="AG874"/>
      <c r="AH874"/>
      <c r="AI874"/>
      <c r="AJ874"/>
      <c r="AK874"/>
      <c r="AN874"/>
      <c r="AO874"/>
      <c r="AP874"/>
      <c r="AQ874"/>
      <c r="AR874"/>
      <c r="AS874"/>
      <c r="AV874"/>
      <c r="AW874"/>
      <c r="AX874"/>
      <c r="AY874"/>
      <c r="AZ874"/>
      <c r="BA874"/>
    </row>
    <row r="875" spans="15:53" x14ac:dyDescent="0.25">
      <c r="O875"/>
      <c r="P875"/>
      <c r="Q875"/>
      <c r="R875"/>
      <c r="S875"/>
      <c r="T875"/>
      <c r="U875"/>
      <c r="V875"/>
      <c r="AF875"/>
      <c r="AG875"/>
      <c r="AH875"/>
      <c r="AI875"/>
      <c r="AJ875"/>
      <c r="AK875"/>
      <c r="AN875"/>
      <c r="AO875"/>
      <c r="AP875"/>
      <c r="AQ875"/>
      <c r="AR875"/>
      <c r="AS875"/>
      <c r="AV875"/>
      <c r="AW875"/>
      <c r="AX875"/>
      <c r="AY875"/>
      <c r="AZ875"/>
      <c r="BA875"/>
    </row>
    <row r="876" spans="15:53" x14ac:dyDescent="0.25">
      <c r="O876"/>
      <c r="P876"/>
      <c r="Q876"/>
      <c r="R876"/>
      <c r="S876"/>
      <c r="T876"/>
      <c r="U876"/>
      <c r="V876"/>
      <c r="AF876"/>
      <c r="AG876"/>
      <c r="AH876"/>
      <c r="AI876"/>
      <c r="AJ876"/>
      <c r="AK876"/>
      <c r="AN876"/>
      <c r="AO876"/>
      <c r="AP876"/>
      <c r="AQ876"/>
      <c r="AR876"/>
      <c r="AS876"/>
      <c r="AV876"/>
      <c r="AW876"/>
      <c r="AX876"/>
      <c r="AY876"/>
      <c r="AZ876"/>
      <c r="BA876"/>
    </row>
    <row r="877" spans="15:53" x14ac:dyDescent="0.25">
      <c r="O877"/>
      <c r="P877"/>
      <c r="Q877"/>
      <c r="R877"/>
      <c r="S877"/>
      <c r="T877"/>
      <c r="U877"/>
      <c r="V877"/>
      <c r="AF877"/>
      <c r="AG877"/>
      <c r="AH877"/>
      <c r="AI877"/>
      <c r="AJ877"/>
      <c r="AK877"/>
      <c r="AN877"/>
      <c r="AO877"/>
      <c r="AP877"/>
      <c r="AQ877"/>
      <c r="AR877"/>
      <c r="AS877"/>
      <c r="AV877"/>
      <c r="AW877"/>
      <c r="AX877"/>
      <c r="AY877"/>
      <c r="AZ877"/>
      <c r="BA877"/>
    </row>
    <row r="878" spans="15:53" x14ac:dyDescent="0.25">
      <c r="O878"/>
      <c r="P878"/>
      <c r="Q878"/>
      <c r="R878"/>
      <c r="S878"/>
      <c r="T878"/>
      <c r="U878"/>
      <c r="V878"/>
      <c r="AF878"/>
      <c r="AG878"/>
      <c r="AH878"/>
      <c r="AI878"/>
      <c r="AJ878"/>
      <c r="AK878"/>
      <c r="AN878"/>
      <c r="AO878"/>
      <c r="AP878"/>
      <c r="AQ878"/>
      <c r="AR878"/>
      <c r="AS878"/>
      <c r="AV878"/>
      <c r="AW878"/>
      <c r="AX878"/>
      <c r="AY878"/>
      <c r="AZ878"/>
      <c r="BA878"/>
    </row>
    <row r="879" spans="15:53" x14ac:dyDescent="0.25">
      <c r="O879"/>
      <c r="P879"/>
      <c r="Q879"/>
      <c r="R879"/>
      <c r="S879"/>
      <c r="T879"/>
      <c r="U879"/>
      <c r="V879"/>
      <c r="AF879"/>
      <c r="AG879"/>
      <c r="AH879"/>
      <c r="AI879"/>
      <c r="AJ879"/>
      <c r="AK879"/>
      <c r="AN879"/>
      <c r="AO879"/>
      <c r="AP879"/>
      <c r="AQ879"/>
      <c r="AR879"/>
      <c r="AS879"/>
      <c r="AV879"/>
      <c r="AW879"/>
      <c r="AX879"/>
      <c r="AY879"/>
      <c r="AZ879"/>
      <c r="BA879"/>
    </row>
    <row r="880" spans="15:53" x14ac:dyDescent="0.25">
      <c r="O880"/>
      <c r="P880"/>
      <c r="Q880"/>
      <c r="R880"/>
      <c r="S880"/>
      <c r="T880"/>
      <c r="U880"/>
      <c r="V880"/>
      <c r="AF880"/>
      <c r="AG880"/>
      <c r="AH880"/>
      <c r="AI880"/>
      <c r="AJ880"/>
      <c r="AK880"/>
      <c r="AN880"/>
      <c r="AO880"/>
      <c r="AP880"/>
      <c r="AQ880"/>
      <c r="AR880"/>
      <c r="AS880"/>
      <c r="AV880"/>
      <c r="AW880"/>
      <c r="AX880"/>
      <c r="AY880"/>
      <c r="AZ880"/>
      <c r="BA880"/>
    </row>
    <row r="881" spans="15:53" x14ac:dyDescent="0.25">
      <c r="O881"/>
      <c r="P881"/>
      <c r="Q881"/>
      <c r="R881"/>
      <c r="S881"/>
      <c r="T881"/>
      <c r="U881"/>
      <c r="V881"/>
      <c r="AF881"/>
      <c r="AG881"/>
      <c r="AH881"/>
      <c r="AI881"/>
      <c r="AJ881"/>
      <c r="AK881"/>
      <c r="AN881"/>
      <c r="AO881"/>
      <c r="AP881"/>
      <c r="AQ881"/>
      <c r="AR881"/>
      <c r="AS881"/>
      <c r="AV881"/>
      <c r="AW881"/>
      <c r="AX881"/>
      <c r="AY881"/>
      <c r="AZ881"/>
      <c r="BA881"/>
    </row>
    <row r="882" spans="15:53" x14ac:dyDescent="0.25">
      <c r="O882"/>
      <c r="P882"/>
      <c r="Q882"/>
      <c r="R882"/>
      <c r="S882"/>
      <c r="T882"/>
      <c r="U882"/>
      <c r="V882"/>
      <c r="AF882"/>
      <c r="AG882"/>
      <c r="AH882"/>
      <c r="AI882"/>
      <c r="AJ882"/>
      <c r="AK882"/>
      <c r="AN882"/>
      <c r="AO882"/>
      <c r="AP882"/>
      <c r="AQ882"/>
      <c r="AR882"/>
      <c r="AS882"/>
      <c r="AV882"/>
      <c r="AW882"/>
      <c r="AX882"/>
      <c r="AY882"/>
      <c r="AZ882"/>
      <c r="BA882"/>
    </row>
    <row r="883" spans="15:53" x14ac:dyDescent="0.25">
      <c r="O883"/>
      <c r="P883"/>
      <c r="Q883"/>
      <c r="R883"/>
      <c r="S883"/>
      <c r="T883"/>
      <c r="U883"/>
      <c r="V883"/>
      <c r="AF883"/>
      <c r="AG883"/>
      <c r="AH883"/>
      <c r="AI883"/>
      <c r="AJ883"/>
      <c r="AK883"/>
      <c r="AN883"/>
      <c r="AO883"/>
      <c r="AP883"/>
      <c r="AQ883"/>
      <c r="AR883"/>
      <c r="AS883"/>
      <c r="AV883"/>
      <c r="AW883"/>
      <c r="AX883"/>
      <c r="AY883"/>
      <c r="AZ883"/>
      <c r="BA883"/>
    </row>
    <row r="884" spans="15:53" x14ac:dyDescent="0.25">
      <c r="O884"/>
      <c r="P884"/>
      <c r="Q884"/>
      <c r="R884"/>
      <c r="S884"/>
      <c r="T884"/>
      <c r="U884"/>
      <c r="V884"/>
      <c r="AF884"/>
      <c r="AG884"/>
      <c r="AH884"/>
      <c r="AI884"/>
      <c r="AJ884"/>
      <c r="AK884"/>
      <c r="AN884"/>
      <c r="AO884"/>
      <c r="AP884"/>
      <c r="AQ884"/>
      <c r="AR884"/>
      <c r="AS884"/>
      <c r="AV884"/>
      <c r="AW884"/>
      <c r="AX884"/>
      <c r="AY884"/>
      <c r="AZ884"/>
      <c r="BA884"/>
    </row>
    <row r="885" spans="15:53" x14ac:dyDescent="0.25">
      <c r="O885"/>
      <c r="P885"/>
      <c r="Q885"/>
      <c r="R885"/>
      <c r="S885"/>
      <c r="T885"/>
      <c r="U885"/>
      <c r="V885"/>
      <c r="AF885"/>
      <c r="AG885"/>
      <c r="AH885"/>
      <c r="AI885"/>
      <c r="AJ885"/>
      <c r="AK885"/>
      <c r="AN885"/>
      <c r="AO885"/>
      <c r="AP885"/>
      <c r="AQ885"/>
      <c r="AR885"/>
      <c r="AS885"/>
      <c r="AV885"/>
      <c r="AW885"/>
      <c r="AX885"/>
      <c r="AY885"/>
      <c r="AZ885"/>
      <c r="BA885"/>
    </row>
    <row r="886" spans="15:53" x14ac:dyDescent="0.25">
      <c r="O886"/>
      <c r="P886"/>
      <c r="Q886"/>
      <c r="R886"/>
      <c r="S886"/>
      <c r="T886"/>
      <c r="U886"/>
      <c r="V886"/>
      <c r="AF886"/>
      <c r="AG886"/>
      <c r="AH886"/>
      <c r="AI886"/>
      <c r="AJ886"/>
      <c r="AK886"/>
      <c r="AN886"/>
      <c r="AO886"/>
      <c r="AP886"/>
      <c r="AQ886"/>
      <c r="AR886"/>
      <c r="AS886"/>
      <c r="AV886"/>
      <c r="AW886"/>
      <c r="AX886"/>
      <c r="AY886"/>
      <c r="AZ886"/>
      <c r="BA886"/>
    </row>
    <row r="887" spans="15:53" x14ac:dyDescent="0.25">
      <c r="O887"/>
      <c r="P887"/>
      <c r="Q887"/>
      <c r="R887"/>
      <c r="S887"/>
      <c r="T887"/>
      <c r="U887"/>
      <c r="V887"/>
      <c r="AF887"/>
      <c r="AG887"/>
      <c r="AH887"/>
      <c r="AI887"/>
      <c r="AJ887"/>
      <c r="AK887"/>
      <c r="AN887"/>
      <c r="AO887"/>
      <c r="AP887"/>
      <c r="AQ887"/>
      <c r="AR887"/>
      <c r="AS887"/>
      <c r="AV887"/>
      <c r="AW887"/>
      <c r="AX887"/>
      <c r="AY887"/>
      <c r="AZ887"/>
      <c r="BA887"/>
    </row>
    <row r="888" spans="15:53" x14ac:dyDescent="0.25">
      <c r="O888"/>
      <c r="P888"/>
      <c r="Q888"/>
      <c r="R888"/>
      <c r="S888"/>
      <c r="T888"/>
      <c r="U888"/>
      <c r="V888"/>
      <c r="AF888"/>
      <c r="AG888"/>
      <c r="AH888"/>
      <c r="AI888"/>
      <c r="AJ888"/>
      <c r="AK888"/>
      <c r="AN888"/>
      <c r="AO888"/>
      <c r="AP888"/>
      <c r="AQ888"/>
      <c r="AR888"/>
      <c r="AS888"/>
      <c r="AV888"/>
      <c r="AW888"/>
      <c r="AX888"/>
      <c r="AY888"/>
      <c r="AZ888"/>
      <c r="BA888"/>
    </row>
    <row r="889" spans="15:53" x14ac:dyDescent="0.25">
      <c r="O889"/>
      <c r="P889"/>
      <c r="Q889"/>
      <c r="R889"/>
      <c r="S889"/>
      <c r="T889"/>
      <c r="U889"/>
      <c r="V889"/>
      <c r="AF889"/>
      <c r="AG889"/>
      <c r="AH889"/>
      <c r="AI889"/>
      <c r="AJ889"/>
      <c r="AK889"/>
      <c r="AN889"/>
      <c r="AO889"/>
      <c r="AP889"/>
      <c r="AQ889"/>
      <c r="AR889"/>
      <c r="AS889"/>
      <c r="AV889"/>
      <c r="AW889"/>
      <c r="AX889"/>
      <c r="AY889"/>
      <c r="AZ889"/>
      <c r="BA889"/>
    </row>
    <row r="890" spans="15:53" x14ac:dyDescent="0.25">
      <c r="O890"/>
      <c r="P890"/>
      <c r="Q890"/>
      <c r="R890"/>
      <c r="S890"/>
      <c r="T890"/>
      <c r="U890"/>
      <c r="V890"/>
      <c r="AF890"/>
      <c r="AG890"/>
      <c r="AH890"/>
      <c r="AI890"/>
      <c r="AJ890"/>
      <c r="AK890"/>
      <c r="AN890"/>
      <c r="AO890"/>
      <c r="AP890"/>
      <c r="AQ890"/>
      <c r="AR890"/>
      <c r="AS890"/>
      <c r="AV890"/>
      <c r="AW890"/>
      <c r="AX890"/>
      <c r="AY890"/>
      <c r="AZ890"/>
      <c r="BA890"/>
    </row>
    <row r="891" spans="15:53" x14ac:dyDescent="0.25">
      <c r="O891"/>
      <c r="P891"/>
      <c r="Q891"/>
      <c r="R891"/>
      <c r="S891"/>
      <c r="T891"/>
      <c r="U891"/>
      <c r="V891"/>
      <c r="AF891"/>
      <c r="AG891"/>
      <c r="AH891"/>
      <c r="AI891"/>
      <c r="AJ891"/>
      <c r="AK891"/>
      <c r="AN891"/>
      <c r="AO891"/>
      <c r="AP891"/>
      <c r="AQ891"/>
      <c r="AR891"/>
      <c r="AS891"/>
      <c r="AV891"/>
      <c r="AW891"/>
      <c r="AX891"/>
      <c r="AY891"/>
      <c r="AZ891"/>
      <c r="BA891"/>
    </row>
    <row r="892" spans="15:53" x14ac:dyDescent="0.25">
      <c r="O892"/>
      <c r="P892"/>
      <c r="Q892"/>
      <c r="R892"/>
      <c r="S892"/>
      <c r="T892"/>
      <c r="U892"/>
      <c r="V892"/>
      <c r="AF892"/>
      <c r="AG892"/>
      <c r="AH892"/>
      <c r="AI892"/>
      <c r="AJ892"/>
      <c r="AK892"/>
      <c r="AN892"/>
      <c r="AO892"/>
      <c r="AP892"/>
      <c r="AQ892"/>
      <c r="AR892"/>
      <c r="AS892"/>
      <c r="AV892"/>
      <c r="AW892"/>
      <c r="AX892"/>
      <c r="AY892"/>
      <c r="AZ892"/>
      <c r="BA892"/>
    </row>
    <row r="893" spans="15:53" x14ac:dyDescent="0.25">
      <c r="O893"/>
      <c r="P893"/>
      <c r="Q893"/>
      <c r="R893"/>
      <c r="S893"/>
      <c r="T893"/>
      <c r="U893"/>
      <c r="V893"/>
      <c r="AF893"/>
      <c r="AG893"/>
      <c r="AH893"/>
      <c r="AI893"/>
      <c r="AJ893"/>
      <c r="AK893"/>
      <c r="AN893"/>
      <c r="AO893"/>
      <c r="AP893"/>
      <c r="AQ893"/>
      <c r="AR893"/>
      <c r="AS893"/>
      <c r="AV893"/>
      <c r="AW893"/>
      <c r="AX893"/>
      <c r="AY893"/>
      <c r="AZ893"/>
      <c r="BA893"/>
    </row>
    <row r="894" spans="15:53" x14ac:dyDescent="0.25">
      <c r="O894"/>
      <c r="P894"/>
      <c r="Q894"/>
      <c r="R894"/>
      <c r="S894"/>
      <c r="T894"/>
      <c r="U894"/>
      <c r="V894"/>
      <c r="AF894"/>
      <c r="AG894"/>
      <c r="AH894"/>
      <c r="AI894"/>
      <c r="AJ894"/>
      <c r="AK894"/>
      <c r="AN894"/>
      <c r="AO894"/>
      <c r="AP894"/>
      <c r="AQ894"/>
      <c r="AR894"/>
      <c r="AS894"/>
      <c r="AV894"/>
      <c r="AW894"/>
      <c r="AX894"/>
      <c r="AY894"/>
      <c r="AZ894"/>
      <c r="BA894"/>
    </row>
    <row r="895" spans="15:53" x14ac:dyDescent="0.25">
      <c r="O895"/>
      <c r="P895"/>
      <c r="Q895"/>
      <c r="R895"/>
      <c r="S895"/>
      <c r="T895"/>
      <c r="U895"/>
      <c r="V895"/>
      <c r="AF895"/>
      <c r="AG895"/>
      <c r="AH895"/>
      <c r="AI895"/>
      <c r="AJ895"/>
      <c r="AK895"/>
      <c r="AN895"/>
      <c r="AO895"/>
      <c r="AP895"/>
      <c r="AQ895"/>
      <c r="AR895"/>
      <c r="AS895"/>
      <c r="AV895"/>
      <c r="AW895"/>
      <c r="AX895"/>
      <c r="AY895"/>
      <c r="AZ895"/>
      <c r="BA895"/>
    </row>
    <row r="896" spans="15:53" x14ac:dyDescent="0.25">
      <c r="O896"/>
      <c r="P896"/>
      <c r="Q896"/>
      <c r="R896"/>
      <c r="S896"/>
      <c r="T896"/>
      <c r="U896"/>
      <c r="V896"/>
      <c r="AF896"/>
      <c r="AG896"/>
      <c r="AH896"/>
      <c r="AI896"/>
      <c r="AJ896"/>
      <c r="AK896"/>
      <c r="AN896"/>
      <c r="AO896"/>
      <c r="AP896"/>
      <c r="AQ896"/>
      <c r="AR896"/>
      <c r="AS896"/>
      <c r="AV896"/>
      <c r="AW896"/>
      <c r="AX896"/>
      <c r="AY896"/>
      <c r="AZ896"/>
      <c r="BA896"/>
    </row>
    <row r="897" spans="15:53" x14ac:dyDescent="0.25">
      <c r="O897"/>
      <c r="P897"/>
      <c r="Q897"/>
      <c r="R897"/>
      <c r="S897"/>
      <c r="T897"/>
      <c r="U897"/>
      <c r="V897"/>
      <c r="AF897"/>
      <c r="AG897"/>
      <c r="AH897"/>
      <c r="AI897"/>
      <c r="AJ897"/>
      <c r="AK897"/>
      <c r="AN897"/>
      <c r="AO897"/>
      <c r="AP897"/>
      <c r="AQ897"/>
      <c r="AR897"/>
      <c r="AS897"/>
      <c r="AV897"/>
      <c r="AW897"/>
      <c r="AX897"/>
      <c r="AY897"/>
      <c r="AZ897"/>
      <c r="BA897"/>
    </row>
    <row r="898" spans="15:53" x14ac:dyDescent="0.25">
      <c r="O898"/>
      <c r="P898"/>
      <c r="Q898"/>
      <c r="R898"/>
      <c r="S898"/>
      <c r="T898"/>
      <c r="U898"/>
      <c r="V898"/>
      <c r="AF898"/>
      <c r="AG898"/>
      <c r="AH898"/>
      <c r="AI898"/>
      <c r="AJ898"/>
      <c r="AK898"/>
      <c r="AN898"/>
      <c r="AO898"/>
      <c r="AP898"/>
      <c r="AQ898"/>
      <c r="AR898"/>
      <c r="AS898"/>
      <c r="AV898"/>
      <c r="AW898"/>
      <c r="AX898"/>
      <c r="AY898"/>
      <c r="AZ898"/>
      <c r="BA898"/>
    </row>
    <row r="899" spans="15:53" x14ac:dyDescent="0.25">
      <c r="O899"/>
      <c r="P899"/>
      <c r="Q899"/>
      <c r="R899"/>
      <c r="S899"/>
      <c r="T899"/>
      <c r="U899"/>
      <c r="V899"/>
      <c r="AF899"/>
      <c r="AG899"/>
      <c r="AH899"/>
      <c r="AI899"/>
      <c r="AJ899"/>
      <c r="AK899"/>
      <c r="AN899"/>
      <c r="AO899"/>
      <c r="AP899"/>
      <c r="AQ899"/>
      <c r="AR899"/>
      <c r="AS899"/>
      <c r="AV899"/>
      <c r="AW899"/>
      <c r="AX899"/>
      <c r="AY899"/>
      <c r="AZ899"/>
      <c r="BA899"/>
    </row>
    <row r="900" spans="15:53" x14ac:dyDescent="0.25">
      <c r="O900"/>
      <c r="P900"/>
      <c r="Q900"/>
      <c r="R900"/>
      <c r="S900"/>
      <c r="T900"/>
      <c r="U900"/>
      <c r="V900"/>
      <c r="AF900"/>
      <c r="AG900"/>
      <c r="AH900"/>
      <c r="AI900"/>
      <c r="AJ900"/>
      <c r="AK900"/>
      <c r="AN900"/>
      <c r="AO900"/>
      <c r="AP900"/>
      <c r="AQ900"/>
      <c r="AR900"/>
      <c r="AS900"/>
      <c r="AV900"/>
      <c r="AW900"/>
      <c r="AX900"/>
      <c r="AY900"/>
      <c r="AZ900"/>
      <c r="BA900"/>
    </row>
    <row r="901" spans="15:53" x14ac:dyDescent="0.25">
      <c r="O901"/>
      <c r="P901"/>
      <c r="Q901"/>
      <c r="R901"/>
      <c r="S901"/>
      <c r="T901"/>
      <c r="U901"/>
      <c r="V901"/>
      <c r="AF901"/>
      <c r="AG901"/>
      <c r="AH901"/>
      <c r="AI901"/>
      <c r="AJ901"/>
      <c r="AK901"/>
      <c r="AN901"/>
      <c r="AO901"/>
      <c r="AP901"/>
      <c r="AQ901"/>
      <c r="AR901"/>
      <c r="AS901"/>
      <c r="AV901"/>
      <c r="AW901"/>
      <c r="AX901"/>
      <c r="AY901"/>
      <c r="AZ901"/>
      <c r="BA901"/>
    </row>
    <row r="902" spans="15:53" x14ac:dyDescent="0.25">
      <c r="O902"/>
      <c r="P902"/>
      <c r="Q902"/>
      <c r="R902"/>
      <c r="S902"/>
      <c r="T902"/>
      <c r="U902"/>
      <c r="V902"/>
    </row>
    <row r="903" spans="15:53" x14ac:dyDescent="0.25">
      <c r="O903"/>
      <c r="P903"/>
      <c r="Q903"/>
      <c r="R903"/>
      <c r="S903"/>
      <c r="T903"/>
      <c r="U903"/>
      <c r="V903"/>
    </row>
    <row r="904" spans="15:53" x14ac:dyDescent="0.25">
      <c r="O904"/>
      <c r="P904"/>
      <c r="Q904"/>
      <c r="R904"/>
      <c r="S904"/>
      <c r="T904"/>
      <c r="U904"/>
      <c r="V904"/>
    </row>
    <row r="905" spans="15:53" x14ac:dyDescent="0.25">
      <c r="O905"/>
      <c r="P905"/>
      <c r="Q905"/>
      <c r="R905"/>
      <c r="S905"/>
      <c r="T905"/>
      <c r="U905"/>
      <c r="V905"/>
    </row>
    <row r="906" spans="15:53" x14ac:dyDescent="0.25">
      <c r="O906"/>
      <c r="P906"/>
      <c r="Q906"/>
      <c r="R906"/>
      <c r="S906"/>
      <c r="T906"/>
      <c r="U906"/>
      <c r="V906"/>
    </row>
    <row r="907" spans="15:53" x14ac:dyDescent="0.25">
      <c r="O907"/>
      <c r="P907"/>
      <c r="Q907"/>
      <c r="R907"/>
      <c r="S907"/>
      <c r="T907"/>
      <c r="U907"/>
      <c r="V907"/>
    </row>
    <row r="908" spans="15:53" x14ac:dyDescent="0.25">
      <c r="O908"/>
      <c r="P908"/>
      <c r="Q908"/>
      <c r="R908"/>
      <c r="S908"/>
      <c r="T908"/>
      <c r="U908"/>
      <c r="V908"/>
    </row>
  </sheetData>
  <mergeCells count="76">
    <mergeCell ref="T9:V9"/>
    <mergeCell ref="T6:V6"/>
    <mergeCell ref="Q7:R7"/>
    <mergeCell ref="T7:V7"/>
    <mergeCell ref="Q8:R8"/>
    <mergeCell ref="T8:V8"/>
    <mergeCell ref="Q6:R6"/>
    <mergeCell ref="Q9:R9"/>
    <mergeCell ref="E6:F6"/>
    <mergeCell ref="E7:F7"/>
    <mergeCell ref="E8:F8"/>
    <mergeCell ref="E9:F9"/>
    <mergeCell ref="A5:B5"/>
    <mergeCell ref="A8:B8"/>
    <mergeCell ref="A3:B3"/>
    <mergeCell ref="A6:B6"/>
    <mergeCell ref="A1:B2"/>
    <mergeCell ref="Z6:AB6"/>
    <mergeCell ref="Z3:AB4"/>
    <mergeCell ref="Z5:AB5"/>
    <mergeCell ref="Z7:AB7"/>
    <mergeCell ref="AW1:BB2"/>
    <mergeCell ref="AV3:AV4"/>
    <mergeCell ref="AW3:AY4"/>
    <mergeCell ref="AO1:AT2"/>
    <mergeCell ref="AN3:AN4"/>
    <mergeCell ref="AO3:AQ4"/>
    <mergeCell ref="AO5:AQ5"/>
    <mergeCell ref="AG1:AL2"/>
    <mergeCell ref="AR5:AS5"/>
    <mergeCell ref="AR3:AS4"/>
    <mergeCell ref="AJ3:AK4"/>
    <mergeCell ref="AG5:AI5"/>
    <mergeCell ref="BE1:BJ2"/>
    <mergeCell ref="BD3:BD4"/>
    <mergeCell ref="BE3:BG4"/>
    <mergeCell ref="AZ3:BA4"/>
    <mergeCell ref="BH3:BI4"/>
    <mergeCell ref="AJ5:AK5"/>
    <mergeCell ref="S3:S4"/>
    <mergeCell ref="D3:D4"/>
    <mergeCell ref="J3:J4"/>
    <mergeCell ref="C3:C4"/>
    <mergeCell ref="E3:F4"/>
    <mergeCell ref="I3:I4"/>
    <mergeCell ref="G3:G4"/>
    <mergeCell ref="AF3:AF4"/>
    <mergeCell ref="AG3:AI4"/>
    <mergeCell ref="Q5:R5"/>
    <mergeCell ref="E5:F5"/>
    <mergeCell ref="T5:V5"/>
    <mergeCell ref="K5:L5"/>
    <mergeCell ref="Z1:AC2"/>
    <mergeCell ref="X3:X4"/>
    <mergeCell ref="Y3:Y4"/>
    <mergeCell ref="K1:N2"/>
    <mergeCell ref="E1:H2"/>
    <mergeCell ref="Q1:W2"/>
    <mergeCell ref="T3:V4"/>
    <mergeCell ref="K3:L4"/>
    <mergeCell ref="P3:P4"/>
    <mergeCell ref="O3:O4"/>
    <mergeCell ref="M3:M4"/>
    <mergeCell ref="Q3:R4"/>
    <mergeCell ref="H3:H4"/>
    <mergeCell ref="BM1:BR2"/>
    <mergeCell ref="BL3:BL4"/>
    <mergeCell ref="BM3:BO4"/>
    <mergeCell ref="BP3:BQ4"/>
    <mergeCell ref="BP5:BQ5"/>
    <mergeCell ref="BM5:BO5"/>
    <mergeCell ref="BE5:BG6"/>
    <mergeCell ref="BH5:BI6"/>
    <mergeCell ref="AW5:AY5"/>
    <mergeCell ref="AZ5:BA5"/>
    <mergeCell ref="BD5:BD6"/>
  </mergeCells>
  <dataValidations count="25">
    <dataValidation type="list" allowBlank="1" showInputMessage="1" showErrorMessage="1" errorTitle="Errore" error="Immettere uno dei valori in elenco!" sqref="E5" xr:uid="{1DCE7B9A-5A2E-4D45-A89B-B6E7001547D2}">
      <formula1>"Sfavorevole,Favorevole"</formula1>
    </dataValidation>
    <dataValidation type="list" allowBlank="1" showInputMessage="1" showErrorMessage="1" errorTitle="Errore" error="Immettere uno dei valori in elenco!" sqref="G5" xr:uid="{2390D52F-2A7C-404F-A75D-20DDED0EB120}">
      <formula1>"EQU, A1 (STR), A2"</formula1>
    </dataValidation>
    <dataValidation type="list" allowBlank="1" showInputMessage="1" showErrorMessage="1" errorTitle="Errore" error="Immettere uno dei valori in elenco!" sqref="E6" xr:uid="{4EF9BEA4-DB3D-432F-9277-953C7A43D2DD}">
      <formula1>"Sfavorevole,Favorevole"</formula1>
    </dataValidation>
    <dataValidation type="list" allowBlank="1" showInputMessage="1" showErrorMessage="1" errorTitle="Errore" error="Immettere uno dei valori in elenco!" sqref="G6" xr:uid="{3CD701E7-6342-4584-850A-D915BBE2579F}">
      <formula1>"EQU, A1 (STR), A2"</formula1>
    </dataValidation>
    <dataValidation type="list" allowBlank="1" showInputMessage="1" showErrorMessage="1" errorTitle="Errore" error="Immettere uno dei valori in elenco!" sqref="E7" xr:uid="{C0E881EB-2032-4ABB-B640-D6CBD8477A95}">
      <formula1>"Sfavorevole,Favorevole"</formula1>
    </dataValidation>
    <dataValidation type="list" allowBlank="1" showInputMessage="1" showErrorMessage="1" errorTitle="Errore" error="Immettere uno dei valori in elenco!" sqref="G7" xr:uid="{99864518-E5D8-4BD7-827B-CDD3E0920347}">
      <formula1>"EQU, A1 (STR), A2"</formula1>
    </dataValidation>
    <dataValidation type="list" allowBlank="1" showInputMessage="1" showErrorMessage="1" errorTitle="Errore" error="Immettere uno dei valori in elenco!" sqref="E8" xr:uid="{9C9B1498-54F4-4143-95AD-B46AE777C2FF}">
      <formula1>"Sfavorevole,Favorevole"</formula1>
    </dataValidation>
    <dataValidation type="list" allowBlank="1" showInputMessage="1" showErrorMessage="1" errorTitle="Errore" error="Immettere uno dei valori in elenco!" sqref="G8" xr:uid="{7C0210C6-9DC8-4C04-A9EB-F53250BB2460}">
      <formula1>"EQU, A1 (STR), A2"</formula1>
    </dataValidation>
    <dataValidation type="list" allowBlank="1" showInputMessage="1" showErrorMessage="1" errorTitle="Errore" error="Immettere uno dei valori in elenco!" sqref="E9" xr:uid="{513E6273-A7EB-4982-935F-EE4E18FEADE5}">
      <formula1>"Sfavorevole,Favorevole"</formula1>
    </dataValidation>
    <dataValidation type="list" allowBlank="1" showInputMessage="1" showErrorMessage="1" errorTitle="Errore" error="Immettere uno dei valori in elenco!" sqref="G9" xr:uid="{426078D4-9889-4F8D-BE1A-7FD19037AE60}">
      <formula1>"EQU, A1 (STR), A2"</formula1>
    </dataValidation>
    <dataValidation type="list" allowBlank="1" showInputMessage="1" showErrorMessage="1" errorTitle="Errore" error="Immettere uno dei valori in elenco!" sqref="Q5" xr:uid="{F9D2FD39-F7B2-44E4-9DF1-AD6A178D702D}">
      <formula1>"Sfavorevole,Favorevole"</formula1>
    </dataValidation>
    <dataValidation type="list" allowBlank="1" showInputMessage="1" showErrorMessage="1" errorTitle="Errore" error="Immettere uno dei valori in elenco!" sqref="S5" xr:uid="{BEBE0E58-C6B0-40CB-8899-8EB3CED5A4D7}">
      <formula1>"EQU, A1 (STR), A2"</formula1>
    </dataValidation>
    <dataValidation type="list" allowBlank="1" showInputMessage="1" showErrorMessage="1" errorTitle="Errore" error="Immettere uno dei valori in elenco!" sqref="T5" xr:uid="{4E576A42-81B4-43E0-ACF5-A8063B9D5424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Q6" xr:uid="{C85B134E-4F65-46CC-BB56-90AC57E14476}">
      <formula1>"Sfavorevole,Favorevole"</formula1>
    </dataValidation>
    <dataValidation type="list" allowBlank="1" showInputMessage="1" showErrorMessage="1" errorTitle="Errore" error="Immettere uno dei valori in elenco!" sqref="S6" xr:uid="{A5870E53-81FF-4192-9236-B20B90A4CA3E}">
      <formula1>"EQU, A1 (STR), A2"</formula1>
    </dataValidation>
    <dataValidation type="list" allowBlank="1" showInputMessage="1" showErrorMessage="1" errorTitle="Errore" error="Immettere uno dei valori in elenco!" sqref="T6" xr:uid="{77461C43-C802-4999-ABEF-5D916C183928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Q7" xr:uid="{475EA46C-D4F5-4CEF-81C1-B6A2F7EC6E04}">
      <formula1>"Sfavorevole,Favorevole"</formula1>
    </dataValidation>
    <dataValidation type="list" allowBlank="1" showInputMessage="1" showErrorMessage="1" errorTitle="Errore" error="Immettere uno dei valori in elenco!" sqref="S7" xr:uid="{F852E2AF-7CE4-4475-8A3D-0E29284113DD}">
      <formula1>"EQU, A1 (STR), A2"</formula1>
    </dataValidation>
    <dataValidation type="list" allowBlank="1" showInputMessage="1" showErrorMessage="1" errorTitle="Errore" error="Immettere uno dei valori in elenco!" sqref="T7" xr:uid="{B29FCA55-8824-4D19-A0BB-94DA68C8FC44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Q8" xr:uid="{3B3D59DF-43B7-4459-A24C-AF36979A3ACF}">
      <formula1>"Sfavorevole,Favorevole"</formula1>
    </dataValidation>
    <dataValidation type="list" allowBlank="1" showInputMessage="1" showErrorMessage="1" errorTitle="Errore" error="Immettere uno dei valori in elenco!" sqref="S8" xr:uid="{272F0B5B-BE9F-4BCE-8F05-CF3B3A8C50D4}">
      <formula1>"EQU, A1 (STR), A2"</formula1>
    </dataValidation>
    <dataValidation type="list" allowBlank="1" showInputMessage="1" showErrorMessage="1" errorTitle="Errore" error="Immettere uno dei valori in elenco!" sqref="T8" xr:uid="{B96A27E7-1355-4903-B00B-33C9F37C7EC1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Q9" xr:uid="{6985E562-51D4-4A12-8D98-A0063C3433E2}">
      <formula1>"Sfavorevole,Favorevole"</formula1>
    </dataValidation>
    <dataValidation type="list" allowBlank="1" showInputMessage="1" showErrorMessage="1" errorTitle="Errore" error="Immettere uno dei valori in elenco!" sqref="S9" xr:uid="{90F06112-C65A-4FE8-AD69-B09BB41B85F2}">
      <formula1>"EQU, A1 (STR), A2"</formula1>
    </dataValidation>
    <dataValidation type="list" allowBlank="1" showInputMessage="1" showErrorMessage="1" errorTitle="Errore" error="Immettere uno dei valori in elenco!" sqref="T9" xr:uid="{F4F5C198-CCA6-4309-9F40-64CA50267652}">
      <formula1>"A,B,C,D,E,F,G,H,I,K,Vento,Neve (as ≤ 1000 m s.l.m.),Neve (as &gt; 1000 m s.l.m.),Variazioni termiche"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Qk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_Qk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dd_G1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clear_G1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add_SLU">
                <anchor moveWithCells="1" sizeWithCells="1">
                  <from>
                    <xdr:col>37</xdr:col>
                    <xdr:colOff>0</xdr:colOff>
                    <xdr:row>2</xdr:row>
                    <xdr:rowOff>0</xdr:rowOff>
                  </from>
                  <to>
                    <xdr:col>38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9" name="Button 55">
              <controlPr defaultSize="0" print="0" autoFill="0" autoPict="0" macro="[0]!add_SLE_rara">
                <anchor moveWithCells="1" sizeWithCells="1">
                  <from>
                    <xdr:col>45</xdr:col>
                    <xdr:colOff>0</xdr:colOff>
                    <xdr:row>2</xdr:row>
                    <xdr:rowOff>0</xdr:rowOff>
                  </from>
                  <to>
                    <xdr:col>46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0" name="Button 70">
              <controlPr defaultSize="0" print="0" autoFill="0" autoPict="0" macro="[0]!reset_Qslu">
                <anchor moveWithCells="1" sizeWithCells="1">
                  <from>
                    <xdr:col>37</xdr:col>
                    <xdr:colOff>0</xdr:colOff>
                    <xdr:row>4</xdr:row>
                    <xdr:rowOff>0</xdr:rowOff>
                  </from>
                  <to>
                    <xdr:col>38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1" name="Button 81">
              <controlPr defaultSize="0" print="0" autoFill="0" autoPict="0" macro="[0]!reset_Qsle_rara">
                <anchor moveWithCells="1" sizeWithCells="1">
                  <from>
                    <xdr:col>45</xdr:col>
                    <xdr:colOff>0</xdr:colOff>
                    <xdr:row>4</xdr:row>
                    <xdr:rowOff>0</xdr:rowOff>
                  </from>
                  <to>
                    <xdr:col>46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2" name="Button 84">
              <controlPr defaultSize="0" print="0" autoFill="0" autoPict="0" macro="[0]!reset_G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3" name="Button 87">
              <controlPr defaultSize="0" print="0" autoFill="0" autoPict="0" macro="[0]!reset_Qk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4" name="Button 8">
              <controlPr defaultSize="0" print="0" autoFill="0" autoPict="0" macro="[0]!add_G2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clear_G2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6" name="Button 86">
              <controlPr defaultSize="0" print="0" autoFill="0" autoPict="0" macro="[0]!reset_G2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7" name="Button 90">
              <controlPr defaultSize="0" print="0" autoFill="0" autoPict="0" macro="[0]!add_G2">
                <anchor moveWithCells="1" sizeWithCells="1">
                  <from>
                    <xdr:col>28</xdr:col>
                    <xdr:colOff>0</xdr:colOff>
                    <xdr:row>2</xdr:row>
                    <xdr:rowOff>0</xdr:rowOff>
                  </from>
                  <to>
                    <xdr:col>29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8" name="Button 91">
              <controlPr defaultSize="0" print="0" autoFill="0" autoPict="0" macro="[0]!clear_G2">
                <anchor moveWithCells="1" sizeWithCells="1">
                  <from>
                    <xdr:col>28</xdr:col>
                    <xdr:colOff>0</xdr:colOff>
                    <xdr:row>3</xdr:row>
                    <xdr:rowOff>0</xdr:rowOff>
                  </from>
                  <to>
                    <xdr:col>29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9" name="Button 92">
              <controlPr defaultSize="0" print="0" autoFill="0" autoPict="0" macro="[0]!reset_G2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0" name="Button 57">
              <controlPr defaultSize="0" print="0" autoFill="0" autoPict="0" macro="[0]!add_SLE_QP">
                <anchor moveWithCells="1" sizeWithCells="1">
                  <from>
                    <xdr:col>61</xdr:col>
                    <xdr:colOff>0</xdr:colOff>
                    <xdr:row>2</xdr:row>
                    <xdr:rowOff>0</xdr:rowOff>
                  </from>
                  <to>
                    <xdr:col>62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1" name="Button 83">
              <controlPr defaultSize="0" print="0" autoFill="0" autoPict="0" macro="[0]!reset_Qsle_QP">
                <anchor moveWithCells="1" sizeWithCells="1">
                  <from>
                    <xdr:col>61</xdr:col>
                    <xdr:colOff>0</xdr:colOff>
                    <xdr:row>4</xdr:row>
                    <xdr:rowOff>0</xdr:rowOff>
                  </from>
                  <to>
                    <xdr:col>62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22" name="Button 94">
              <controlPr defaultSize="0" print="0" autoFill="0" autoPict="0" macro="[0]!add_SLE_QP">
                <anchor moveWithCells="1" sizeWithCells="1">
                  <from>
                    <xdr:col>69</xdr:col>
                    <xdr:colOff>0</xdr:colOff>
                    <xdr:row>2</xdr:row>
                    <xdr:rowOff>0</xdr:rowOff>
                  </from>
                  <to>
                    <xdr:col>70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23" name="Button 95">
              <controlPr defaultSize="0" print="0" autoFill="0" autoPict="0" macro="[0]!reset_Qsle_QP">
                <anchor moveWithCells="1" sizeWithCells="1">
                  <from>
                    <xdr:col>69</xdr:col>
                    <xdr:colOff>0</xdr:colOff>
                    <xdr:row>4</xdr:row>
                    <xdr:rowOff>0</xdr:rowOff>
                  </from>
                  <to>
                    <xdr:col>70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4" name="Button 56">
              <controlPr defaultSize="0" print="0" autoFill="0" autoPict="0" macro="[0]!add_SLE_Frequente">
                <anchor moveWithCells="1" sizeWithCells="1">
                  <from>
                    <xdr:col>53</xdr:col>
                    <xdr:colOff>0</xdr:colOff>
                    <xdr:row>2</xdr:row>
                    <xdr:rowOff>0</xdr:rowOff>
                  </from>
                  <to>
                    <xdr:col>54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5" name="Button 82">
              <controlPr defaultSize="0" print="0" autoFill="0" autoPict="0" macro="[0]!reset_Qsle_frequente">
                <anchor moveWithCells="1" sizeWithCells="1">
                  <from>
                    <xdr:col>53</xdr:col>
                    <xdr:colOff>0</xdr:colOff>
                    <xdr:row>4</xdr:row>
                    <xdr:rowOff>0</xdr:rowOff>
                  </from>
                  <to>
                    <xdr:col>54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6" name="Button 99">
              <controlPr defaultSize="0" print="0" autoFill="0" autoPict="0" macro="[0]!add_SLE_Frequente">
                <anchor moveWithCells="1" sizeWithCells="1">
                  <from>
                    <xdr:col>69</xdr:col>
                    <xdr:colOff>0</xdr:colOff>
                    <xdr:row>2</xdr:row>
                    <xdr:rowOff>0</xdr:rowOff>
                  </from>
                  <to>
                    <xdr:col>70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27" name="Button 100">
              <controlPr defaultSize="0" print="0" autoFill="0" autoPict="0" macro="[0]!reset_Qsle_frequente">
                <anchor moveWithCells="1" sizeWithCells="1">
                  <from>
                    <xdr:col>69</xdr:col>
                    <xdr:colOff>0</xdr:colOff>
                    <xdr:row>4</xdr:row>
                    <xdr:rowOff>0</xdr:rowOff>
                  </from>
                  <to>
                    <xdr:col>70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reset_all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29" name="Button 88">
              <controlPr defaultSize="0" print="0" autoFill="0" autoPict="0" macro="[0]!calculate_all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30" name="Button 102">
              <controlPr defaultSize="0" print="0" autoFill="0" autoPict="0" macro="[0]!CreaEquazione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77E9D2-9243-42FA-B197-A01823F6B57D}">
          <x14:formula1>
            <xm:f>'Convalida Dati'!$A$4:$A$29</xm:f>
          </x14:formula1>
          <xm:sqref>A4 A7</xm:sqref>
        </x14:dataValidation>
        <x14:dataValidation type="list" allowBlank="1" showInputMessage="1" showErrorMessage="1" xr:uid="{78155D12-320E-41E3-BD99-00BCF2DBC4D9}">
          <x14:formula1>
            <xm:f>'Convalida Dati'!$C$4:$C$29</xm:f>
          </x14:formula1>
          <xm:sqref>A5 B4 A8 B7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Convalida Dati</vt:lpstr>
      <vt:lpstr>Normativa (NTC2018)</vt:lpstr>
      <vt:lpstr>Combinazioni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Gregorio Di Stefano</cp:lastModifiedBy>
  <dcterms:created xsi:type="dcterms:W3CDTF">2023-04-02T16:39:22Z</dcterms:created>
  <dcterms:modified xsi:type="dcterms:W3CDTF">2023-10-13T19:57:35Z</dcterms:modified>
</cp:coreProperties>
</file>