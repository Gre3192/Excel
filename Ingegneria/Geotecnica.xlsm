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Gregorio\Coding Experince\Excel\Ingegneria\"/>
    </mc:Choice>
  </mc:AlternateContent>
  <xr:revisionPtr revIDLastSave="0" documentId="13_ncr:1_{795D4FB6-15C0-47B5-97FA-F463861C87BE}" xr6:coauthVersionLast="47" xr6:coauthVersionMax="47" xr10:uidLastSave="{00000000-0000-0000-0000-000000000000}"/>
  <bookViews>
    <workbookView xWindow="-120" yWindow="-120" windowWidth="20730" windowHeight="11160" tabRatio="858" activeTab="4" xr2:uid="{BF86EEAB-490D-4197-8A21-2A58B2772496}"/>
  </bookViews>
  <sheets>
    <sheet name="Granulometria" sheetId="6" r:id="rId1"/>
    <sheet name="Parametri sperimentali" sheetId="4" r:id="rId2"/>
    <sheet name="Prove Tx" sheetId="2" r:id="rId3"/>
    <sheet name="Spinte sul muro" sheetId="3" r:id="rId4"/>
    <sheet name="Consolidazione" sheetId="1" r:id="rId5"/>
    <sheet name="Cam-Clay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  <c r="D7" i="6"/>
  <c r="D8" i="6"/>
  <c r="E8" i="6"/>
  <c r="F13" i="6" s="1"/>
  <c r="G13" i="6" s="1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G7" i="6"/>
  <c r="E7" i="6"/>
  <c r="F10" i="6" l="1"/>
  <c r="G10" i="6" s="1"/>
  <c r="F15" i="6"/>
  <c r="G15" i="6" s="1"/>
  <c r="F12" i="6"/>
  <c r="G12" i="6" s="1"/>
  <c r="F17" i="6"/>
  <c r="G17" i="6" s="1"/>
  <c r="F9" i="6"/>
  <c r="G9" i="6" s="1"/>
  <c r="F14" i="6"/>
  <c r="G14" i="6" s="1"/>
  <c r="F11" i="6"/>
  <c r="G11" i="6" s="1"/>
  <c r="F16" i="6"/>
  <c r="G16" i="6" s="1"/>
  <c r="F8" i="6"/>
  <c r="G8" i="6" s="1"/>
</calcChain>
</file>

<file path=xl/sharedStrings.xml><?xml version="1.0" encoding="utf-8"?>
<sst xmlns="http://schemas.openxmlformats.org/spreadsheetml/2006/main" count="82" uniqueCount="64">
  <si>
    <t>[m]</t>
  </si>
  <si>
    <r>
      <t>[kN/m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</si>
  <si>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Tipo</t>
  </si>
  <si>
    <t>Punto</t>
  </si>
  <si>
    <t>Stratigrafia</t>
  </si>
  <si>
    <t>Quote piezometriche</t>
  </si>
  <si>
    <t>Quote geodediche</t>
  </si>
  <si>
    <r>
      <t>z ( t</t>
    </r>
    <r>
      <rPr>
        <vertAlign val="subscript"/>
        <sz val="11"/>
        <color theme="1"/>
        <rFont val="Calibri"/>
        <family val="2"/>
        <scheme val="minor"/>
      </rPr>
      <t>0</t>
    </r>
    <r>
      <rPr>
        <vertAlign val="superscript"/>
        <sz val="11"/>
        <color theme="1"/>
        <rFont val="Calibri"/>
        <family val="2"/>
        <scheme val="minor"/>
      </rPr>
      <t xml:space="preserve">- </t>
    </r>
    <r>
      <rPr>
        <sz val="11"/>
        <color theme="1"/>
        <rFont val="Calibri"/>
        <family val="2"/>
        <scheme val="minor"/>
      </rPr>
      <t>)</t>
    </r>
  </si>
  <si>
    <r>
      <t>z ( t</t>
    </r>
    <r>
      <rPr>
        <vertAlign val="subscript"/>
        <sz val="11"/>
        <color theme="1"/>
        <rFont val="Calibri"/>
        <family val="2"/>
        <scheme val="minor"/>
      </rPr>
      <t>0</t>
    </r>
    <r>
      <rPr>
        <vertAlign val="superscript"/>
        <sz val="11"/>
        <color theme="1"/>
        <rFont val="Calibri"/>
        <family val="2"/>
        <scheme val="minor"/>
      </rPr>
      <t xml:space="preserve">+ </t>
    </r>
    <r>
      <rPr>
        <sz val="11"/>
        <color theme="1"/>
        <rFont val="Calibri"/>
        <family val="2"/>
        <scheme val="minor"/>
      </rPr>
      <t>)</t>
    </r>
  </si>
  <si>
    <r>
      <t>z ( t</t>
    </r>
    <r>
      <rPr>
        <vertAlign val="subscript"/>
        <sz val="11"/>
        <color theme="1"/>
        <rFont val="Calibri"/>
        <family val="2"/>
      </rPr>
      <t xml:space="preserve">∞ </t>
    </r>
    <r>
      <rPr>
        <sz val="11"/>
        <color theme="1"/>
        <rFont val="Calibri"/>
        <family val="2"/>
        <scheme val="minor"/>
      </rPr>
      <t>)</t>
    </r>
  </si>
  <si>
    <r>
      <t xml:space="preserve">Peso </t>
    </r>
    <r>
      <rPr>
        <sz val="11"/>
        <color theme="1"/>
        <rFont val="Calibri"/>
        <family val="2"/>
      </rPr>
      <t>↑</t>
    </r>
  </si>
  <si>
    <t>Tensioni litostatiche</t>
  </si>
  <si>
    <t>[kPa]</t>
  </si>
  <si>
    <r>
      <t>σ</t>
    </r>
    <r>
      <rPr>
        <vertAlign val="subscript"/>
        <sz val="11"/>
        <color theme="1"/>
        <rFont val="Calibri"/>
        <family val="2"/>
      </rPr>
      <t xml:space="preserve">v </t>
    </r>
    <r>
      <rPr>
        <sz val="11"/>
        <color theme="1"/>
        <rFont val="Calibri"/>
        <family val="2"/>
      </rPr>
      <t>( t</t>
    </r>
    <r>
      <rPr>
        <vertAlign val="subscript"/>
        <sz val="11"/>
        <color theme="1"/>
        <rFont val="Calibri"/>
        <family val="2"/>
      </rPr>
      <t>0</t>
    </r>
    <r>
      <rPr>
        <vertAlign val="superscript"/>
        <sz val="11"/>
        <color theme="1"/>
        <rFont val="Calibri"/>
        <family val="2"/>
      </rPr>
      <t>-</t>
    </r>
    <r>
      <rPr>
        <sz val="11"/>
        <color theme="1"/>
        <rFont val="Calibri"/>
        <family val="2"/>
      </rPr>
      <t xml:space="preserve"> )</t>
    </r>
  </si>
  <si>
    <r>
      <t>u ( t</t>
    </r>
    <r>
      <rPr>
        <vertAlign val="subscript"/>
        <sz val="11"/>
        <color theme="1"/>
        <rFont val="Calibri"/>
        <family val="2"/>
        <scheme val="minor"/>
      </rPr>
      <t>0</t>
    </r>
    <r>
      <rPr>
        <vertAlign val="superscript"/>
        <sz val="11"/>
        <color theme="1"/>
        <rFont val="Calibri"/>
        <family val="2"/>
        <scheme val="minor"/>
      </rPr>
      <t xml:space="preserve">+ </t>
    </r>
    <r>
      <rPr>
        <sz val="11"/>
        <color theme="1"/>
        <rFont val="Calibri"/>
        <family val="2"/>
        <scheme val="minor"/>
      </rPr>
      <t>)</t>
    </r>
  </si>
  <si>
    <r>
      <t>u ( t</t>
    </r>
    <r>
      <rPr>
        <vertAlign val="subscript"/>
        <sz val="11"/>
        <color theme="1"/>
        <rFont val="Calibri"/>
        <family val="2"/>
        <scheme val="minor"/>
      </rPr>
      <t>0</t>
    </r>
    <r>
      <rPr>
        <vertAlign val="superscript"/>
        <sz val="11"/>
        <color theme="1"/>
        <rFont val="Calibri"/>
        <family val="2"/>
        <scheme val="minor"/>
      </rPr>
      <t xml:space="preserve">- </t>
    </r>
    <r>
      <rPr>
        <sz val="11"/>
        <color theme="1"/>
        <rFont val="Calibri"/>
        <family val="2"/>
        <scheme val="minor"/>
      </rPr>
      <t>)</t>
    </r>
  </si>
  <si>
    <r>
      <t>σ</t>
    </r>
    <r>
      <rPr>
        <vertAlign val="subscript"/>
        <sz val="11"/>
        <color theme="1"/>
        <rFont val="Calibri"/>
        <family val="2"/>
      </rPr>
      <t>v</t>
    </r>
    <r>
      <rPr>
        <sz val="11"/>
        <color theme="1"/>
        <rFont val="Calibri"/>
        <family val="2"/>
      </rPr>
      <t>' ( t</t>
    </r>
    <r>
      <rPr>
        <vertAlign val="subscript"/>
        <sz val="11"/>
        <color theme="1"/>
        <rFont val="Calibri"/>
        <family val="2"/>
      </rPr>
      <t>0</t>
    </r>
    <r>
      <rPr>
        <vertAlign val="superscript"/>
        <sz val="11"/>
        <color theme="1"/>
        <rFont val="Calibri"/>
        <family val="2"/>
      </rPr>
      <t>-</t>
    </r>
    <r>
      <rPr>
        <sz val="11"/>
        <color theme="1"/>
        <rFont val="Calibri"/>
        <family val="2"/>
      </rPr>
      <t xml:space="preserve"> )</t>
    </r>
  </si>
  <si>
    <r>
      <t>σ</t>
    </r>
    <r>
      <rPr>
        <vertAlign val="subscript"/>
        <sz val="11"/>
        <color theme="1"/>
        <rFont val="Calibri"/>
        <family val="2"/>
      </rPr>
      <t xml:space="preserve">v </t>
    </r>
    <r>
      <rPr>
        <sz val="11"/>
        <color theme="1"/>
        <rFont val="Calibri"/>
        <family val="2"/>
      </rPr>
      <t>( t</t>
    </r>
    <r>
      <rPr>
        <vertAlign val="subscript"/>
        <sz val="11"/>
        <color theme="1"/>
        <rFont val="Calibri"/>
        <family val="2"/>
      </rPr>
      <t>0</t>
    </r>
    <r>
      <rPr>
        <vertAlign val="superscript"/>
        <sz val="11"/>
        <color theme="1"/>
        <rFont val="Calibri"/>
        <family val="2"/>
      </rPr>
      <t>+</t>
    </r>
    <r>
      <rPr>
        <sz val="11"/>
        <color theme="1"/>
        <rFont val="Calibri"/>
        <family val="2"/>
      </rPr>
      <t xml:space="preserve"> )</t>
    </r>
  </si>
  <si>
    <r>
      <t>σ</t>
    </r>
    <r>
      <rPr>
        <vertAlign val="subscript"/>
        <sz val="11"/>
        <color theme="1"/>
        <rFont val="Calibri"/>
        <family val="2"/>
      </rPr>
      <t>v</t>
    </r>
    <r>
      <rPr>
        <sz val="11"/>
        <color theme="1"/>
        <rFont val="Calibri"/>
        <family val="2"/>
      </rPr>
      <t>' ( t</t>
    </r>
    <r>
      <rPr>
        <vertAlign val="subscript"/>
        <sz val="11"/>
        <color theme="1"/>
        <rFont val="Calibri"/>
        <family val="2"/>
      </rPr>
      <t>0</t>
    </r>
    <r>
      <rPr>
        <vertAlign val="superscript"/>
        <sz val="11"/>
        <color theme="1"/>
        <rFont val="Calibri"/>
        <family val="2"/>
      </rPr>
      <t>+</t>
    </r>
    <r>
      <rPr>
        <sz val="11"/>
        <color theme="1"/>
        <rFont val="Calibri"/>
        <family val="2"/>
      </rPr>
      <t xml:space="preserve"> )</t>
    </r>
  </si>
  <si>
    <r>
      <t>u ( t</t>
    </r>
    <r>
      <rPr>
        <vertAlign val="subscript"/>
        <sz val="11"/>
        <color theme="1"/>
        <rFont val="Calibri"/>
        <family val="2"/>
        <scheme val="minor"/>
      </rPr>
      <t>∞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)</t>
    </r>
  </si>
  <si>
    <r>
      <t>σ</t>
    </r>
    <r>
      <rPr>
        <vertAlign val="subscript"/>
        <sz val="11"/>
        <color theme="1"/>
        <rFont val="Calibri"/>
        <family val="2"/>
      </rPr>
      <t xml:space="preserve">v </t>
    </r>
    <r>
      <rPr>
        <sz val="11"/>
        <color theme="1"/>
        <rFont val="Calibri"/>
        <family val="2"/>
      </rPr>
      <t>( t</t>
    </r>
    <r>
      <rPr>
        <vertAlign val="subscript"/>
        <sz val="11"/>
        <color theme="1"/>
        <rFont val="Calibri"/>
        <family val="2"/>
      </rPr>
      <t>∞</t>
    </r>
    <r>
      <rPr>
        <sz val="11"/>
        <color theme="1"/>
        <rFont val="Calibri"/>
        <family val="2"/>
      </rPr>
      <t xml:space="preserve"> )</t>
    </r>
  </si>
  <si>
    <r>
      <t>σ</t>
    </r>
    <r>
      <rPr>
        <vertAlign val="subscript"/>
        <sz val="11"/>
        <color theme="1"/>
        <rFont val="Calibri"/>
        <family val="2"/>
      </rPr>
      <t>v</t>
    </r>
    <r>
      <rPr>
        <sz val="11"/>
        <color theme="1"/>
        <rFont val="Calibri"/>
        <family val="2"/>
      </rPr>
      <t>' ( t</t>
    </r>
    <r>
      <rPr>
        <vertAlign val="subscript"/>
        <sz val="11"/>
        <color theme="1"/>
        <rFont val="Calibri"/>
        <family val="2"/>
      </rPr>
      <t>∞</t>
    </r>
    <r>
      <rPr>
        <sz val="11"/>
        <color theme="1"/>
        <rFont val="Calibri"/>
        <family val="2"/>
      </rPr>
      <t xml:space="preserve"> )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</si>
  <si>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>( t</t>
    </r>
    <r>
      <rPr>
        <vertAlign val="subscript"/>
        <sz val="11"/>
        <color theme="1"/>
        <rFont val="Calibri"/>
        <family val="2"/>
        <scheme val="minor"/>
      </rPr>
      <t>0</t>
    </r>
    <r>
      <rPr>
        <vertAlign val="superscript"/>
        <sz val="11"/>
        <color theme="1"/>
        <rFont val="Calibri"/>
        <family val="2"/>
        <scheme val="minor"/>
      </rPr>
      <t xml:space="preserve">- </t>
    </r>
    <r>
      <rPr>
        <sz val="11"/>
        <color theme="1"/>
        <rFont val="Calibri"/>
        <family val="2"/>
        <scheme val="minor"/>
      </rPr>
      <t>)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</si>
  <si>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>( t</t>
    </r>
    <r>
      <rPr>
        <vertAlign val="subscript"/>
        <sz val="11"/>
        <color theme="1"/>
        <rFont val="Calibri"/>
        <family val="2"/>
        <scheme val="minor"/>
      </rPr>
      <t>0</t>
    </r>
    <r>
      <rPr>
        <vertAlign val="superscript"/>
        <sz val="11"/>
        <color theme="1"/>
        <rFont val="Calibri"/>
        <family val="2"/>
        <scheme val="minor"/>
      </rPr>
      <t xml:space="preserve">+ </t>
    </r>
    <r>
      <rPr>
        <sz val="11"/>
        <color theme="1"/>
        <rFont val="Calibri"/>
        <family val="2"/>
        <scheme val="minor"/>
      </rPr>
      <t>)</t>
    </r>
  </si>
  <si>
    <r>
      <t>z</t>
    </r>
    <r>
      <rPr>
        <vertAlign val="subscript"/>
        <sz val="11"/>
        <color theme="1"/>
        <rFont val="Calibri"/>
        <family val="2"/>
        <scheme val="minor"/>
      </rPr>
      <t xml:space="preserve">w </t>
    </r>
    <r>
      <rPr>
        <sz val="11"/>
        <color theme="1"/>
        <rFont val="Calibri"/>
        <family val="2"/>
        <scheme val="minor"/>
      </rPr>
      <t>( t</t>
    </r>
    <r>
      <rPr>
        <vertAlign val="subscript"/>
        <sz val="11"/>
        <color theme="1"/>
        <rFont val="Calibri"/>
        <family val="2"/>
      </rPr>
      <t xml:space="preserve">∞ </t>
    </r>
    <r>
      <rPr>
        <sz val="11"/>
        <color theme="1"/>
        <rFont val="Calibri"/>
        <family val="2"/>
        <scheme val="minor"/>
      </rPr>
      <t xml:space="preserve">) </t>
    </r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</si>
  <si>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</si>
  <si>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</si>
  <si>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</si>
  <si>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</si>
  <si>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</si>
  <si>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</si>
  <si>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</si>
  <si>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</si>
  <si>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</si>
  <si>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</si>
  <si>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</si>
  <si>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</si>
  <si>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</si>
  <si>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</si>
  <si>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</si>
  <si>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</si>
  <si>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</si>
  <si>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</si>
  <si>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</t>
  </si>
  <si>
    <t>S</t>
  </si>
  <si>
    <t>U</t>
  </si>
  <si>
    <t>V</t>
  </si>
  <si>
    <t>W</t>
  </si>
  <si>
    <t>X</t>
  </si>
  <si>
    <t>Y</t>
  </si>
  <si>
    <t>Z</t>
  </si>
  <si>
    <t xml:space="preserve">Setaccio </t>
  </si>
  <si>
    <t>[mm]</t>
  </si>
  <si>
    <t>[g]</t>
  </si>
  <si>
    <t>[%]</t>
  </si>
  <si>
    <t>Fondo</t>
  </si>
  <si>
    <r>
      <t>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/P</t>
    </r>
    <r>
      <rPr>
        <vertAlign val="subscript"/>
        <sz val="11"/>
        <color theme="1"/>
        <rFont val="Calibri"/>
        <family val="2"/>
        <scheme val="minor"/>
      </rPr>
      <t>tot</t>
    </r>
  </si>
  <si>
    <t>Passante</t>
  </si>
  <si>
    <t>Trattenuto</t>
  </si>
  <si>
    <t>[N°]</t>
  </si>
  <si>
    <t>Setacci</t>
  </si>
  <si>
    <t>Num.</t>
  </si>
  <si>
    <r>
      <t>P</t>
    </r>
    <r>
      <rPr>
        <vertAlign val="subscript"/>
        <sz val="11"/>
        <color theme="1"/>
        <rFont val="Calibri"/>
        <family val="2"/>
        <scheme val="minor"/>
      </rPr>
      <t>i</t>
    </r>
  </si>
  <si>
    <r>
      <t>P</t>
    </r>
    <r>
      <rPr>
        <vertAlign val="subscript"/>
        <sz val="11"/>
        <color theme="1"/>
        <rFont val="Calibri"/>
        <family val="2"/>
        <scheme val="minor"/>
      </rPr>
      <t>tot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</si>
</sst>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2" xfId="0" applyFill="1" applyBorder="1" applyAlignment="1">
      <alignment vertical="center"/>
    </xf>
    <xf numFmtId="2" fontId="0" fillId="4" borderId="0" xfId="0" applyNumberFormat="1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0A45-1BF1-4A6A-BD72-0A43A775198B}">
  <sheetPr codeName="Foglio6"/>
  <dimension ref="A1:H17"/>
  <sheetViews>
    <sheetView workbookViewId="0">
      <selection activeCell="A4" sqref="A4"/>
    </sheetView>
  </sheetViews>
  <sheetFormatPr defaultColWidth="8.7109375" defaultRowHeight="15" x14ac:dyDescent="0.25"/>
  <cols>
    <col min="1" max="3" width="8.7109375" style="1"/>
    <col min="4" max="5" width="8.85546875" style="1" bestFit="1" customWidth="1"/>
    <col min="6" max="6" width="9.7109375" style="1" bestFit="1" customWidth="1"/>
    <col min="7" max="7" width="9.42578125" style="1" bestFit="1" customWidth="1"/>
    <col min="8" max="16384" width="8.7109375" style="1"/>
  </cols>
  <sheetData>
    <row r="1" spans="1:8" ht="18" x14ac:dyDescent="0.25">
      <c r="A1" s="11" t="s">
        <v>61</v>
      </c>
      <c r="B1" s="9" t="s">
        <v>63</v>
      </c>
    </row>
    <row r="2" spans="1:8" x14ac:dyDescent="0.25">
      <c r="A2" s="12" t="s">
        <v>60</v>
      </c>
      <c r="B2" s="2" t="s">
        <v>53</v>
      </c>
    </row>
    <row r="3" spans="1:8" x14ac:dyDescent="0.25">
      <c r="A3" s="14">
        <v>10</v>
      </c>
      <c r="B3" s="15">
        <v>1747</v>
      </c>
    </row>
    <row r="5" spans="1:8" ht="18" x14ac:dyDescent="0.25">
      <c r="A5" s="11" t="s">
        <v>51</v>
      </c>
      <c r="B5" s="9" t="s">
        <v>28</v>
      </c>
      <c r="C5" s="6" t="s">
        <v>62</v>
      </c>
      <c r="D5" s="18" t="s">
        <v>56</v>
      </c>
      <c r="E5" s="9" t="s">
        <v>56</v>
      </c>
      <c r="F5" s="7" t="s">
        <v>58</v>
      </c>
      <c r="G5" s="9" t="s">
        <v>57</v>
      </c>
    </row>
    <row r="6" spans="1:8" x14ac:dyDescent="0.25">
      <c r="A6" s="12" t="s">
        <v>59</v>
      </c>
      <c r="B6" s="2" t="s">
        <v>52</v>
      </c>
      <c r="C6" s="3" t="s">
        <v>53</v>
      </c>
      <c r="D6" s="19"/>
      <c r="E6" s="2" t="s">
        <v>54</v>
      </c>
      <c r="F6" s="3" t="s">
        <v>54</v>
      </c>
      <c r="G6" s="2" t="s">
        <v>54</v>
      </c>
    </row>
    <row r="7" spans="1:8" x14ac:dyDescent="0.25">
      <c r="A7" s="13">
        <v>1</v>
      </c>
      <c r="B7" s="16">
        <v>31.5</v>
      </c>
      <c r="C7" s="1">
        <v>0</v>
      </c>
      <c r="D7" s="8">
        <f t="shared" ref="D7:D17" si="0">B7/$B$3</f>
        <v>1.8030910131654265E-2</v>
      </c>
      <c r="E7" s="10">
        <f t="shared" ref="E7:E17" si="1">C7/$B$3*100</f>
        <v>0</v>
      </c>
      <c r="F7" s="8">
        <f>SUM($E$7:E7)</f>
        <v>0</v>
      </c>
      <c r="G7" s="10">
        <f>100-F7</f>
        <v>100</v>
      </c>
    </row>
    <row r="8" spans="1:8" x14ac:dyDescent="0.25">
      <c r="A8" s="13">
        <v>2</v>
      </c>
      <c r="B8" s="16">
        <v>16</v>
      </c>
      <c r="C8" s="1">
        <v>334</v>
      </c>
      <c r="D8" s="8">
        <f t="shared" si="0"/>
        <v>9.1585575271894669E-3</v>
      </c>
      <c r="E8" s="10">
        <f t="shared" si="1"/>
        <v>19.118488838008012</v>
      </c>
      <c r="F8" s="8">
        <f>SUM($E$7:E8)</f>
        <v>19.118488838008012</v>
      </c>
      <c r="G8" s="10">
        <f t="shared" ref="G8:G16" si="2">100-F8</f>
        <v>80.881511161991995</v>
      </c>
      <c r="H8" s="17"/>
    </row>
    <row r="9" spans="1:8" x14ac:dyDescent="0.25">
      <c r="A9" s="13">
        <v>3</v>
      </c>
      <c r="B9" s="16">
        <v>8</v>
      </c>
      <c r="C9" s="1">
        <v>327</v>
      </c>
      <c r="D9" s="8">
        <f t="shared" si="0"/>
        <v>4.5792787635947334E-3</v>
      </c>
      <c r="E9" s="10">
        <f t="shared" si="1"/>
        <v>18.717801946193475</v>
      </c>
      <c r="F9" s="8">
        <f>SUM($E$7:E9)</f>
        <v>37.836290784201488</v>
      </c>
      <c r="G9" s="10">
        <f t="shared" si="2"/>
        <v>62.163709215798512</v>
      </c>
      <c r="H9" s="17"/>
    </row>
    <row r="10" spans="1:8" x14ac:dyDescent="0.25">
      <c r="A10" s="13">
        <v>4</v>
      </c>
      <c r="B10" s="16">
        <v>6.3</v>
      </c>
      <c r="C10" s="1">
        <v>115</v>
      </c>
      <c r="D10" s="8">
        <f t="shared" si="0"/>
        <v>3.6061820263308527E-3</v>
      </c>
      <c r="E10" s="10">
        <f t="shared" si="1"/>
        <v>6.5827132226674303</v>
      </c>
      <c r="F10" s="8">
        <f>SUM($E$7:E10)</f>
        <v>44.419004006868917</v>
      </c>
      <c r="G10" s="10">
        <f t="shared" si="2"/>
        <v>55.580995993131083</v>
      </c>
      <c r="H10" s="17"/>
    </row>
    <row r="11" spans="1:8" x14ac:dyDescent="0.25">
      <c r="A11" s="13">
        <v>5</v>
      </c>
      <c r="B11" s="16">
        <v>4</v>
      </c>
      <c r="C11" s="1">
        <v>274</v>
      </c>
      <c r="D11" s="8">
        <f t="shared" si="0"/>
        <v>2.2896393817973667E-3</v>
      </c>
      <c r="E11" s="10">
        <f t="shared" si="1"/>
        <v>15.684029765311964</v>
      </c>
      <c r="F11" s="8">
        <f>SUM($E$7:E11)</f>
        <v>60.103033772180879</v>
      </c>
      <c r="G11" s="10">
        <f t="shared" si="2"/>
        <v>39.896966227819121</v>
      </c>
      <c r="H11" s="17"/>
    </row>
    <row r="12" spans="1:8" x14ac:dyDescent="0.25">
      <c r="A12" s="13">
        <v>6</v>
      </c>
      <c r="B12" s="16">
        <v>2</v>
      </c>
      <c r="C12" s="1">
        <v>240</v>
      </c>
      <c r="D12" s="8">
        <f t="shared" si="0"/>
        <v>1.1448196908986834E-3</v>
      </c>
      <c r="E12" s="10">
        <f t="shared" si="1"/>
        <v>13.737836290784204</v>
      </c>
      <c r="F12" s="8">
        <f>SUM($E$7:E12)</f>
        <v>73.840870062965081</v>
      </c>
      <c r="G12" s="10">
        <f t="shared" si="2"/>
        <v>26.159129937034919</v>
      </c>
      <c r="H12" s="17"/>
    </row>
    <row r="13" spans="1:8" x14ac:dyDescent="0.25">
      <c r="A13" s="13">
        <v>7</v>
      </c>
      <c r="B13" s="16">
        <v>1</v>
      </c>
      <c r="C13" s="1">
        <v>174</v>
      </c>
      <c r="D13" s="8">
        <f t="shared" si="0"/>
        <v>5.7240984544934168E-4</v>
      </c>
      <c r="E13" s="10">
        <f t="shared" si="1"/>
        <v>9.9599313108185452</v>
      </c>
      <c r="F13" s="8">
        <f>SUM($E$7:E13)</f>
        <v>83.800801373783628</v>
      </c>
      <c r="G13" s="10">
        <f t="shared" si="2"/>
        <v>16.199198626216372</v>
      </c>
      <c r="H13" s="17"/>
    </row>
    <row r="14" spans="1:8" x14ac:dyDescent="0.25">
      <c r="A14" s="13">
        <v>8</v>
      </c>
      <c r="B14" s="16">
        <v>0.5</v>
      </c>
      <c r="C14" s="1">
        <v>105</v>
      </c>
      <c r="D14" s="8">
        <f t="shared" si="0"/>
        <v>2.8620492272467084E-4</v>
      </c>
      <c r="E14" s="10">
        <f t="shared" si="1"/>
        <v>6.0103033772180883</v>
      </c>
      <c r="F14" s="8">
        <f>SUM($E$7:E14)</f>
        <v>89.811104751001722</v>
      </c>
      <c r="G14" s="10">
        <f t="shared" si="2"/>
        <v>10.188895248998278</v>
      </c>
      <c r="H14" s="17"/>
    </row>
    <row r="15" spans="1:8" x14ac:dyDescent="0.25">
      <c r="A15" s="13">
        <v>9</v>
      </c>
      <c r="B15" s="16">
        <v>0.25</v>
      </c>
      <c r="C15" s="1">
        <v>67</v>
      </c>
      <c r="D15" s="8">
        <f t="shared" si="0"/>
        <v>1.4310246136233542E-4</v>
      </c>
      <c r="E15" s="10">
        <f t="shared" si="1"/>
        <v>3.8351459645105899</v>
      </c>
      <c r="F15" s="8">
        <f>SUM($E$7:E15)</f>
        <v>93.646250715512309</v>
      </c>
      <c r="G15" s="10">
        <f t="shared" si="2"/>
        <v>6.3537492844876908</v>
      </c>
      <c r="H15" s="17"/>
    </row>
    <row r="16" spans="1:8" x14ac:dyDescent="0.25">
      <c r="A16" s="13">
        <v>10</v>
      </c>
      <c r="B16" s="16">
        <v>6.3E-2</v>
      </c>
      <c r="C16" s="1">
        <v>59</v>
      </c>
      <c r="D16" s="8">
        <f t="shared" si="0"/>
        <v>3.6061820263308529E-5</v>
      </c>
      <c r="E16" s="10">
        <f t="shared" si="1"/>
        <v>3.3772180881511162</v>
      </c>
      <c r="F16" s="8">
        <f>SUM($E$7:E16)</f>
        <v>97.02346880366342</v>
      </c>
      <c r="G16" s="10">
        <f t="shared" si="2"/>
        <v>2.9765311963365804</v>
      </c>
      <c r="H16" s="17"/>
    </row>
    <row r="17" spans="1:8" x14ac:dyDescent="0.25">
      <c r="A17" s="13" t="s">
        <v>55</v>
      </c>
      <c r="B17" s="16">
        <v>0</v>
      </c>
      <c r="C17" s="1">
        <v>26</v>
      </c>
      <c r="D17" s="8">
        <f t="shared" si="0"/>
        <v>0</v>
      </c>
      <c r="E17" s="10">
        <f t="shared" si="1"/>
        <v>1.4882655981682884</v>
      </c>
      <c r="F17" s="8">
        <f>SUM($E$7:E17)</f>
        <v>98.511734401831703</v>
      </c>
      <c r="G17" s="10">
        <f>100-F17</f>
        <v>1.4882655981682973</v>
      </c>
      <c r="H17" s="17"/>
    </row>
  </sheetData>
  <mergeCells count="1">
    <mergeCell ref="D5:D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331EF-4582-44D4-B77B-C54271EDFBDD}">
  <sheetPr codeName="Foglio2"/>
  <dimension ref="A1"/>
  <sheetViews>
    <sheetView workbookViewId="0">
      <selection activeCell="G14" sqref="G14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5749-0D16-4980-9360-13AAF5D5E325}">
  <sheetPr codeName="Foglio3"/>
  <dimension ref="F5:G5"/>
  <sheetViews>
    <sheetView workbookViewId="0">
      <selection activeCell="I6" sqref="C6:I7"/>
    </sheetView>
  </sheetViews>
  <sheetFormatPr defaultColWidth="8.7109375" defaultRowHeight="15" x14ac:dyDescent="0.25"/>
  <cols>
    <col min="1" max="16384" width="8.7109375" style="1"/>
  </cols>
  <sheetData>
    <row r="5" spans="6:7" x14ac:dyDescent="0.25">
      <c r="F5" s="20"/>
      <c r="G5" s="20"/>
    </row>
  </sheetData>
  <mergeCells count="1">
    <mergeCell ref="F5:G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D816E-0784-44CA-8A0D-BE4C48615560}">
  <sheetPr codeName="Foglio4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D4684-21C3-4D12-A78B-019F10144BC9}">
  <sheetPr codeName="Foglio1"/>
  <dimension ref="A1:R29"/>
  <sheetViews>
    <sheetView tabSelected="1" zoomScale="95" zoomScaleNormal="95" workbookViewId="0">
      <selection activeCell="B7" sqref="B7"/>
    </sheetView>
  </sheetViews>
  <sheetFormatPr defaultColWidth="8.7109375" defaultRowHeight="15" x14ac:dyDescent="0.25"/>
  <cols>
    <col min="1" max="1" width="8.7109375" style="26"/>
    <col min="2" max="2" width="8.7109375" style="27"/>
    <col min="3" max="3" width="8.7109375" style="28"/>
    <col min="4" max="4" width="8.7109375" style="26"/>
    <col min="5" max="6" width="8.7109375" style="27"/>
    <col min="7" max="7" width="8.7109375" style="26"/>
    <col min="8" max="8" width="8.7109375" style="27" customWidth="1"/>
    <col min="9" max="9" width="8.7109375" style="27"/>
    <col min="10" max="10" width="8.7109375" style="13"/>
    <col min="11" max="11" width="8.7109375" style="32"/>
    <col min="12" max="12" width="8.7109375" style="5"/>
    <col min="13" max="14" width="8.7109375" style="32"/>
    <col min="15" max="15" width="8.7109375" style="5"/>
    <col min="16" max="17" width="8.7109375" style="32"/>
    <col min="18" max="18" width="8.7109375" style="5"/>
    <col min="19" max="27" width="8.7109375" style="1"/>
    <col min="28" max="32" width="8.7109375" style="1" customWidth="1"/>
    <col min="33" max="16384" width="8.7109375" style="1"/>
  </cols>
  <sheetData>
    <row r="1" spans="1:18" x14ac:dyDescent="0.25">
      <c r="A1" s="21" t="s">
        <v>4</v>
      </c>
      <c r="B1" s="22"/>
      <c r="C1" s="23"/>
      <c r="D1" s="21" t="s">
        <v>6</v>
      </c>
      <c r="E1" s="22"/>
      <c r="F1" s="23"/>
      <c r="G1" s="21" t="s">
        <v>5</v>
      </c>
      <c r="H1" s="22"/>
      <c r="I1" s="23"/>
      <c r="J1" s="21" t="s">
        <v>11</v>
      </c>
      <c r="K1" s="22"/>
      <c r="L1" s="22"/>
      <c r="M1" s="22"/>
      <c r="N1" s="22"/>
      <c r="O1" s="22"/>
      <c r="P1" s="22"/>
      <c r="Q1" s="22"/>
      <c r="R1" s="23"/>
    </row>
    <row r="2" spans="1:18" ht="18" x14ac:dyDescent="0.25">
      <c r="A2" s="24" t="s">
        <v>3</v>
      </c>
      <c r="B2" s="25" t="s">
        <v>2</v>
      </c>
      <c r="C2" s="2" t="s">
        <v>10</v>
      </c>
      <c r="D2" s="12" t="s">
        <v>7</v>
      </c>
      <c r="E2" s="29" t="s">
        <v>8</v>
      </c>
      <c r="F2" s="29" t="s">
        <v>9</v>
      </c>
      <c r="G2" s="12" t="s">
        <v>22</v>
      </c>
      <c r="H2" s="29" t="s">
        <v>23</v>
      </c>
      <c r="I2" s="29" t="s">
        <v>24</v>
      </c>
      <c r="J2" s="30" t="s">
        <v>13</v>
      </c>
      <c r="K2" s="29" t="s">
        <v>15</v>
      </c>
      <c r="L2" s="4" t="s">
        <v>16</v>
      </c>
      <c r="M2" s="31" t="s">
        <v>17</v>
      </c>
      <c r="N2" s="29" t="s">
        <v>14</v>
      </c>
      <c r="O2" s="4" t="s">
        <v>18</v>
      </c>
      <c r="P2" s="31" t="s">
        <v>20</v>
      </c>
      <c r="Q2" s="29" t="s">
        <v>19</v>
      </c>
      <c r="R2" s="4" t="s">
        <v>21</v>
      </c>
    </row>
    <row r="3" spans="1:18" ht="17.25" x14ac:dyDescent="0.25">
      <c r="A3" s="24"/>
      <c r="B3" s="25"/>
      <c r="C3" s="2" t="s">
        <v>1</v>
      </c>
      <c r="D3" s="12" t="s">
        <v>0</v>
      </c>
      <c r="E3" s="29" t="s">
        <v>0</v>
      </c>
      <c r="F3" s="29" t="s">
        <v>0</v>
      </c>
      <c r="G3" s="12" t="s">
        <v>0</v>
      </c>
      <c r="H3" s="29" t="s">
        <v>0</v>
      </c>
      <c r="I3" s="29" t="s">
        <v>0</v>
      </c>
      <c r="J3" s="12" t="s">
        <v>12</v>
      </c>
      <c r="K3" s="29" t="s">
        <v>12</v>
      </c>
      <c r="L3" s="2" t="s">
        <v>12</v>
      </c>
      <c r="M3" s="29" t="s">
        <v>12</v>
      </c>
      <c r="N3" s="29" t="s">
        <v>12</v>
      </c>
      <c r="O3" s="2" t="s">
        <v>12</v>
      </c>
      <c r="P3" s="29" t="s">
        <v>12</v>
      </c>
      <c r="Q3" s="29" t="s">
        <v>12</v>
      </c>
      <c r="R3" s="2" t="s">
        <v>12</v>
      </c>
    </row>
    <row r="4" spans="1:18" x14ac:dyDescent="0.25">
      <c r="A4" s="26" t="s">
        <v>25</v>
      </c>
    </row>
    <row r="5" spans="1:18" x14ac:dyDescent="0.25">
      <c r="A5" s="26" t="s">
        <v>26</v>
      </c>
    </row>
    <row r="6" spans="1:18" x14ac:dyDescent="0.25">
      <c r="A6" s="26" t="s">
        <v>27</v>
      </c>
    </row>
    <row r="7" spans="1:18" x14ac:dyDescent="0.25">
      <c r="A7" s="26" t="s">
        <v>28</v>
      </c>
    </row>
    <row r="8" spans="1:18" x14ac:dyDescent="0.25">
      <c r="A8" s="26" t="s">
        <v>29</v>
      </c>
    </row>
    <row r="9" spans="1:18" x14ac:dyDescent="0.25">
      <c r="A9" s="26" t="s">
        <v>30</v>
      </c>
    </row>
    <row r="10" spans="1:18" x14ac:dyDescent="0.25">
      <c r="A10" s="26" t="s">
        <v>31</v>
      </c>
    </row>
    <row r="11" spans="1:18" x14ac:dyDescent="0.25">
      <c r="A11" s="26" t="s">
        <v>32</v>
      </c>
    </row>
    <row r="12" spans="1:18" ht="14.45" customHeight="1" x14ac:dyDescent="0.25">
      <c r="A12" s="26" t="s">
        <v>33</v>
      </c>
    </row>
    <row r="13" spans="1:18" x14ac:dyDescent="0.25">
      <c r="A13" s="26" t="s">
        <v>34</v>
      </c>
    </row>
    <row r="14" spans="1:18" x14ac:dyDescent="0.25">
      <c r="A14" s="26" t="s">
        <v>35</v>
      </c>
    </row>
    <row r="15" spans="1:18" x14ac:dyDescent="0.25">
      <c r="A15" s="26" t="s">
        <v>36</v>
      </c>
    </row>
    <row r="16" spans="1:18" x14ac:dyDescent="0.25">
      <c r="A16" s="26" t="s">
        <v>37</v>
      </c>
    </row>
    <row r="17" spans="1:1" x14ac:dyDescent="0.25">
      <c r="A17" s="26" t="s">
        <v>38</v>
      </c>
    </row>
    <row r="18" spans="1:1" x14ac:dyDescent="0.25">
      <c r="A18" s="26" t="s">
        <v>39</v>
      </c>
    </row>
    <row r="19" spans="1:1" x14ac:dyDescent="0.25">
      <c r="A19" s="26" t="s">
        <v>40</v>
      </c>
    </row>
    <row r="20" spans="1:1" ht="14.45" customHeight="1" x14ac:dyDescent="0.25">
      <c r="A20" s="26" t="s">
        <v>41</v>
      </c>
    </row>
    <row r="21" spans="1:1" ht="14.45" customHeight="1" x14ac:dyDescent="0.25">
      <c r="A21" s="26" t="s">
        <v>42</v>
      </c>
    </row>
    <row r="22" spans="1:1" x14ac:dyDescent="0.25">
      <c r="A22" s="26" t="s">
        <v>44</v>
      </c>
    </row>
    <row r="23" spans="1:1" x14ac:dyDescent="0.25">
      <c r="A23" s="26" t="s">
        <v>43</v>
      </c>
    </row>
    <row r="24" spans="1:1" x14ac:dyDescent="0.25">
      <c r="A24" s="26" t="s">
        <v>45</v>
      </c>
    </row>
    <row r="25" spans="1:1" x14ac:dyDescent="0.25">
      <c r="A25" s="26" t="s">
        <v>46</v>
      </c>
    </row>
    <row r="26" spans="1:1" ht="14.45" customHeight="1" x14ac:dyDescent="0.25">
      <c r="A26" s="26" t="s">
        <v>47</v>
      </c>
    </row>
    <row r="27" spans="1:1" x14ac:dyDescent="0.25">
      <c r="A27" s="26" t="s">
        <v>48</v>
      </c>
    </row>
    <row r="28" spans="1:1" x14ac:dyDescent="0.25">
      <c r="A28" s="26" t="s">
        <v>49</v>
      </c>
    </row>
    <row r="29" spans="1:1" x14ac:dyDescent="0.25">
      <c r="A29" s="26" t="s">
        <v>50</v>
      </c>
    </row>
  </sheetData>
  <mergeCells count="6">
    <mergeCell ref="D1:F1"/>
    <mergeCell ref="A1:C1"/>
    <mergeCell ref="J1:R1"/>
    <mergeCell ref="B2:B3"/>
    <mergeCell ref="A2:A3"/>
    <mergeCell ref="G1:I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5C916-F95D-472A-AFA8-4968578C2F6F}">
  <sheetPr codeName="Foglio5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Granulometria</vt:lpstr>
      <vt:lpstr>Parametri sperimentali</vt:lpstr>
      <vt:lpstr>Prove Tx</vt:lpstr>
      <vt:lpstr>Spinte sul muro</vt:lpstr>
      <vt:lpstr>Consolidazione</vt:lpstr>
      <vt:lpstr>Cam-Clay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gredi</dc:creator>
  <cp:lastModifiedBy>admin</cp:lastModifiedBy>
  <dcterms:created xsi:type="dcterms:W3CDTF">2019-04-17T22:31:32Z</dcterms:created>
  <dcterms:modified xsi:type="dcterms:W3CDTF">2023-04-24T16:46:39Z</dcterms:modified>
</cp:coreProperties>
</file>