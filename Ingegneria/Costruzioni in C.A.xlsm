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"/>
    </mc:Choice>
  </mc:AlternateContent>
  <xr:revisionPtr revIDLastSave="0" documentId="13_ncr:1_{2CBC07EA-C7D7-4F70-B996-C166A50B6AFF}" xr6:coauthVersionLast="47" xr6:coauthVersionMax="47" xr10:uidLastSave="{00000000-0000-0000-0000-000000000000}"/>
  <bookViews>
    <workbookView xWindow="-120" yWindow="-120" windowWidth="20730" windowHeight="11160" activeTab="2" xr2:uid="{BF86EEAB-490D-4197-8A21-2A58B2772496}"/>
  </bookViews>
  <sheets>
    <sheet name="Utils" sheetId="7" r:id="rId1"/>
    <sheet name="Materiali" sheetId="6" r:id="rId2"/>
    <sheet name="SLU Progetto" sheetId="3" r:id="rId3"/>
    <sheet name="SLU Verifica" sheetId="5" r:id="rId4"/>
    <sheet name="Taglio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3" l="1"/>
</calcChain>
</file>

<file path=xl/sharedStrings.xml><?xml version="1.0" encoding="utf-8"?>
<sst xmlns="http://schemas.openxmlformats.org/spreadsheetml/2006/main" count="181" uniqueCount="80">
  <si>
    <t>[MPa]</t>
  </si>
  <si>
    <t>Classe</t>
  </si>
  <si>
    <t>n</t>
  </si>
  <si>
    <r>
      <t>ε</t>
    </r>
    <r>
      <rPr>
        <vertAlign val="subscript"/>
        <sz val="11"/>
        <color theme="1"/>
        <rFont val="Calibri"/>
        <family val="2"/>
        <scheme val="minor"/>
      </rPr>
      <t>c2</t>
    </r>
    <r>
      <rPr>
        <sz val="11"/>
        <color theme="1"/>
        <rFont val="Calibri"/>
        <family val="2"/>
        <scheme val="minor"/>
      </rPr>
      <t/>
    </r>
  </si>
  <si>
    <r>
      <t>ε</t>
    </r>
    <r>
      <rPr>
        <vertAlign val="subscript"/>
        <sz val="11"/>
        <color theme="1"/>
        <rFont val="Calibri"/>
        <family val="2"/>
        <scheme val="minor"/>
      </rPr>
      <t>cu2</t>
    </r>
  </si>
  <si>
    <t>[‰]</t>
  </si>
  <si>
    <t>d</t>
  </si>
  <si>
    <t>d'</t>
  </si>
  <si>
    <t>d''</t>
  </si>
  <si>
    <t>c'</t>
  </si>
  <si>
    <t>β</t>
  </si>
  <si>
    <t>[mm]</t>
  </si>
  <si>
    <t>b</t>
  </si>
  <si>
    <t>As</t>
  </si>
  <si>
    <t>As'</t>
  </si>
  <si>
    <r>
      <t>f</t>
    </r>
    <r>
      <rPr>
        <vertAlign val="subscript"/>
        <sz val="11"/>
        <color theme="1"/>
        <rFont val="Calibri"/>
        <family val="2"/>
        <scheme val="minor"/>
      </rPr>
      <t>yd</t>
    </r>
  </si>
  <si>
    <t>h</t>
  </si>
  <si>
    <r>
      <t>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</si>
  <si>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f</t>
    </r>
    <r>
      <rPr>
        <vertAlign val="subscript"/>
        <sz val="11"/>
        <color theme="1"/>
        <rFont val="Calibri"/>
        <family val="2"/>
        <scheme val="minor"/>
      </rPr>
      <t>ck</t>
    </r>
  </si>
  <si>
    <t>ψ</t>
  </si>
  <si>
    <t>λ</t>
  </si>
  <si>
    <t>ξ</t>
  </si>
  <si>
    <r>
      <rPr>
        <sz val="11"/>
        <color theme="1"/>
        <rFont val="Calibri"/>
        <family val="2"/>
      </rPr>
      <t>ф</t>
    </r>
    <r>
      <rPr>
        <vertAlign val="subscript"/>
        <sz val="11"/>
        <color theme="1"/>
        <rFont val="Calibri"/>
        <family val="2"/>
      </rPr>
      <t>staffe</t>
    </r>
  </si>
  <si>
    <t>x</t>
  </si>
  <si>
    <r>
      <t>f</t>
    </r>
    <r>
      <rPr>
        <vertAlign val="subscript"/>
        <sz val="11"/>
        <color theme="1"/>
        <rFont val="Calibri"/>
        <family val="2"/>
        <scheme val="minor"/>
      </rPr>
      <t>yk</t>
    </r>
  </si>
  <si>
    <r>
      <t>ε</t>
    </r>
    <r>
      <rPr>
        <vertAlign val="subscript"/>
        <sz val="11"/>
        <color theme="1"/>
        <rFont val="Calibri"/>
        <family val="2"/>
        <scheme val="minor"/>
      </rPr>
      <t>se</t>
    </r>
  </si>
  <si>
    <r>
      <t>ε</t>
    </r>
    <r>
      <rPr>
        <vertAlign val="subscript"/>
        <sz val="11"/>
        <color theme="1"/>
        <rFont val="Calibri"/>
        <family val="2"/>
        <scheme val="minor"/>
      </rPr>
      <t>su</t>
    </r>
  </si>
  <si>
    <r>
      <t>E</t>
    </r>
    <r>
      <rPr>
        <vertAlign val="subscript"/>
        <sz val="11"/>
        <color theme="1"/>
        <rFont val="Calibri"/>
        <family val="2"/>
        <scheme val="minor"/>
      </rPr>
      <t>s</t>
    </r>
  </si>
  <si>
    <t>Caratteristiche Armature superiori</t>
  </si>
  <si>
    <t>Caratteristiche Armature inferiori</t>
  </si>
  <si>
    <r>
      <t xml:space="preserve">Coefficienti tra i </t>
    </r>
    <r>
      <rPr>
        <i/>
        <sz val="11"/>
        <color theme="1"/>
        <rFont val="Calibri"/>
        <family val="2"/>
        <scheme val="minor"/>
      </rPr>
      <t>Campi 2-3</t>
    </r>
  </si>
  <si>
    <r>
      <t>M</t>
    </r>
    <r>
      <rPr>
        <vertAlign val="subscript"/>
        <sz val="11"/>
        <color theme="1"/>
        <rFont val="Calibri"/>
        <family val="2"/>
        <scheme val="minor"/>
      </rPr>
      <t>Ed</t>
    </r>
  </si>
  <si>
    <r>
      <t>N</t>
    </r>
    <r>
      <rPr>
        <vertAlign val="subscript"/>
        <sz val="11"/>
        <color theme="1"/>
        <rFont val="Calibri"/>
        <family val="2"/>
        <scheme val="minor"/>
      </rPr>
      <t>Ed</t>
    </r>
  </si>
  <si>
    <r>
      <t>V</t>
    </r>
    <r>
      <rPr>
        <vertAlign val="subscript"/>
        <sz val="11"/>
        <color theme="1"/>
        <rFont val="Calibri"/>
        <family val="2"/>
        <scheme val="minor"/>
      </rPr>
      <t>Ed</t>
    </r>
  </si>
  <si>
    <t>[kN]</t>
  </si>
  <si>
    <r>
      <t>[kN</t>
    </r>
    <r>
      <rPr>
        <sz val="11"/>
        <color theme="1"/>
        <rFont val="Calibri"/>
        <family val="2"/>
      </rPr>
      <t>·</t>
    </r>
    <r>
      <rPr>
        <sz val="11"/>
        <color theme="1"/>
        <rFont val="Calibri"/>
        <family val="2"/>
        <scheme val="minor"/>
      </rPr>
      <t>m]</t>
    </r>
  </si>
  <si>
    <t xml:space="preserve">Carichi SLU </t>
  </si>
  <si>
    <t>agenti sulla sezione</t>
  </si>
  <si>
    <t>[x/d]</t>
  </si>
  <si>
    <t>B450C</t>
  </si>
  <si>
    <t>ф</t>
  </si>
  <si>
    <t>[As'/As]</t>
  </si>
  <si>
    <t>Valori commerciali</t>
  </si>
  <si>
    <t>Geometria sezione</t>
  </si>
  <si>
    <t>Progetto sezione</t>
  </si>
  <si>
    <t xml:space="preserve">CARATTERISTICHE DEL CALCESTRUZZO </t>
  </si>
  <si>
    <t>[EC2 Parte 1-1 - Punto 3.3.1 - Prospetto 3.1] (Pag.19)</t>
  </si>
  <si>
    <r>
      <t>f</t>
    </r>
    <r>
      <rPr>
        <vertAlign val="subscript"/>
        <sz val="11"/>
        <color theme="1"/>
        <rFont val="Calibri"/>
        <family val="2"/>
        <scheme val="minor"/>
      </rPr>
      <t>ck,cube</t>
    </r>
  </si>
  <si>
    <r>
      <t>f</t>
    </r>
    <r>
      <rPr>
        <vertAlign val="subscript"/>
        <sz val="11"/>
        <color theme="1"/>
        <rFont val="Calibri"/>
        <family val="2"/>
        <scheme val="minor"/>
      </rPr>
      <t>cm</t>
    </r>
  </si>
  <si>
    <r>
      <t>f</t>
    </r>
    <r>
      <rPr>
        <vertAlign val="subscript"/>
        <sz val="11"/>
        <color theme="1"/>
        <rFont val="Calibri"/>
        <family val="2"/>
        <scheme val="minor"/>
      </rPr>
      <t>ctm</t>
    </r>
  </si>
  <si>
    <r>
      <t>f</t>
    </r>
    <r>
      <rPr>
        <vertAlign val="subscript"/>
        <sz val="11"/>
        <color theme="1"/>
        <rFont val="Calibri"/>
        <family val="2"/>
        <scheme val="minor"/>
      </rPr>
      <t>ctk0,05</t>
    </r>
  </si>
  <si>
    <r>
      <t>f</t>
    </r>
    <r>
      <rPr>
        <vertAlign val="subscript"/>
        <sz val="11"/>
        <color theme="1"/>
        <rFont val="Calibri"/>
        <family val="2"/>
        <scheme val="minor"/>
      </rPr>
      <t>ctk0,95</t>
    </r>
  </si>
  <si>
    <r>
      <t>E</t>
    </r>
    <r>
      <rPr>
        <vertAlign val="subscript"/>
        <sz val="11"/>
        <color theme="1"/>
        <rFont val="Calibri"/>
        <family val="2"/>
        <scheme val="minor"/>
      </rPr>
      <t>cm</t>
    </r>
  </si>
  <si>
    <r>
      <t>ε</t>
    </r>
    <r>
      <rPr>
        <vertAlign val="subscript"/>
        <sz val="11"/>
        <color theme="1"/>
        <rFont val="Calibri"/>
        <family val="2"/>
        <scheme val="minor"/>
      </rPr>
      <t>c1</t>
    </r>
  </si>
  <si>
    <r>
      <t>ε</t>
    </r>
    <r>
      <rPr>
        <vertAlign val="subscript"/>
        <sz val="11"/>
        <color theme="1"/>
        <rFont val="Calibri"/>
        <family val="2"/>
        <scheme val="minor"/>
      </rPr>
      <t>cu1</t>
    </r>
  </si>
  <si>
    <r>
      <t>ε</t>
    </r>
    <r>
      <rPr>
        <vertAlign val="subscript"/>
        <sz val="11"/>
        <color theme="1"/>
        <rFont val="Calibri"/>
        <family val="2"/>
        <scheme val="minor"/>
      </rPr>
      <t>c3</t>
    </r>
  </si>
  <si>
    <r>
      <t>ε</t>
    </r>
    <r>
      <rPr>
        <vertAlign val="subscript"/>
        <sz val="11"/>
        <color theme="1"/>
        <rFont val="Calibri"/>
        <family val="2"/>
        <scheme val="minor"/>
      </rPr>
      <t>cu3</t>
    </r>
  </si>
  <si>
    <t>C60/75</t>
  </si>
  <si>
    <t>C30/37</t>
  </si>
  <si>
    <t>C20/25</t>
  </si>
  <si>
    <t>C50/60</t>
  </si>
  <si>
    <t>C12/15</t>
  </si>
  <si>
    <t>C16/20</t>
  </si>
  <si>
    <t>C25/30</t>
  </si>
  <si>
    <t>C35/45</t>
  </si>
  <si>
    <t>C40/50</t>
  </si>
  <si>
    <t>C45/55</t>
  </si>
  <si>
    <t>C55/67</t>
  </si>
  <si>
    <t>C70/85</t>
  </si>
  <si>
    <t>C80/95</t>
  </si>
  <si>
    <t>C90/105</t>
  </si>
  <si>
    <t>Stress-block</t>
  </si>
  <si>
    <t>LEGAMI COSTITUTIVI CALCESTRUZZO</t>
  </si>
  <si>
    <t>LEGAMI COSTITUTIVI ACCIAIO</t>
  </si>
  <si>
    <t>Elastico - Perfettamente plastico</t>
  </si>
  <si>
    <t>Parabola esponenziale - Rettangolo</t>
  </si>
  <si>
    <t>Triangolo - Rettangolo</t>
  </si>
  <si>
    <t>Rigido - Plastico</t>
  </si>
  <si>
    <t>Caratteristiche del calcestruzzo</t>
  </si>
  <si>
    <t>Legame costitutivo: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</si>
</sst>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4" borderId="0" xfId="0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" borderId="23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2" borderId="25" xfId="0" applyNumberFormat="1" applyFill="1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0" fontId="0" fillId="4" borderId="2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2" fontId="0" fillId="2" borderId="19" xfId="0" applyNumberFormat="1" applyFill="1" applyBorder="1" applyAlignment="1">
      <alignment horizontal="center"/>
    </xf>
    <xf numFmtId="0" fontId="3" fillId="4" borderId="2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8" fillId="2" borderId="27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left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76200</xdr:rowOff>
        </xdr:from>
        <xdr:to>
          <xdr:col>2</xdr:col>
          <xdr:colOff>390525</xdr:colOff>
          <xdr:row>11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Progetta sezione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171450</xdr:rowOff>
        </xdr:from>
        <xdr:to>
          <xdr:col>2</xdr:col>
          <xdr:colOff>57150</xdr:colOff>
          <xdr:row>6</xdr:row>
          <xdr:rowOff>171450</xdr:rowOff>
        </xdr:to>
        <xdr:sp macro="" textlink="">
          <xdr:nvSpPr>
            <xdr:cNvPr id="3101" name="OptionButton7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2</xdr:col>
          <xdr:colOff>57150</xdr:colOff>
          <xdr:row>8</xdr:row>
          <xdr:rowOff>66675</xdr:rowOff>
        </xdr:to>
        <xdr:sp macro="" textlink="">
          <xdr:nvSpPr>
            <xdr:cNvPr id="3102" name="OptionButton8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 2013-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4C02-0C0D-4B2B-B731-4338F32E40B3}">
  <sheetPr codeName="Foglio5"/>
  <dimension ref="A1:O24"/>
  <sheetViews>
    <sheetView topLeftCell="A6" workbookViewId="0">
      <selection activeCell="A20" sqref="A20:D21"/>
    </sheetView>
  </sheetViews>
  <sheetFormatPr defaultRowHeight="15" x14ac:dyDescent="0.25"/>
  <sheetData>
    <row r="1" spans="1:15" x14ac:dyDescent="0.25">
      <c r="A1" s="67" t="s">
        <v>45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9"/>
    </row>
    <row r="2" spans="1:15" x14ac:dyDescent="0.25">
      <c r="A2" s="70" t="s">
        <v>46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2"/>
    </row>
    <row r="3" spans="1:15" ht="18" x14ac:dyDescent="0.25">
      <c r="A3" s="58" t="s">
        <v>1</v>
      </c>
      <c r="B3" s="57" t="s">
        <v>18</v>
      </c>
      <c r="C3" s="57" t="s">
        <v>47</v>
      </c>
      <c r="D3" s="57" t="s">
        <v>48</v>
      </c>
      <c r="E3" s="57" t="s">
        <v>49</v>
      </c>
      <c r="F3" s="57" t="s">
        <v>50</v>
      </c>
      <c r="G3" s="57" t="s">
        <v>51</v>
      </c>
      <c r="H3" s="61" t="s">
        <v>52</v>
      </c>
      <c r="I3" s="62" t="s">
        <v>2</v>
      </c>
      <c r="J3" s="57" t="s">
        <v>53</v>
      </c>
      <c r="K3" s="57" t="s">
        <v>54</v>
      </c>
      <c r="L3" s="57" t="s">
        <v>3</v>
      </c>
      <c r="M3" s="57" t="s">
        <v>4</v>
      </c>
      <c r="N3" s="57" t="s">
        <v>55</v>
      </c>
      <c r="O3" s="26" t="s">
        <v>56</v>
      </c>
    </row>
    <row r="4" spans="1:15" x14ac:dyDescent="0.25">
      <c r="A4" s="58"/>
      <c r="B4" s="57" t="s">
        <v>0</v>
      </c>
      <c r="C4" s="57" t="s">
        <v>0</v>
      </c>
      <c r="D4" s="57" t="s">
        <v>0</v>
      </c>
      <c r="E4" s="57" t="s">
        <v>0</v>
      </c>
      <c r="F4" s="57" t="s">
        <v>0</v>
      </c>
      <c r="G4" s="57" t="s">
        <v>0</v>
      </c>
      <c r="H4" s="61" t="s">
        <v>0</v>
      </c>
      <c r="I4" s="62"/>
      <c r="J4" s="57" t="s">
        <v>5</v>
      </c>
      <c r="K4" s="57" t="s">
        <v>5</v>
      </c>
      <c r="L4" s="57" t="s">
        <v>5</v>
      </c>
      <c r="M4" s="57" t="s">
        <v>5</v>
      </c>
      <c r="N4" s="57" t="s">
        <v>5</v>
      </c>
      <c r="O4" s="26" t="s">
        <v>5</v>
      </c>
    </row>
    <row r="5" spans="1:15" x14ac:dyDescent="0.25">
      <c r="A5" s="59" t="s">
        <v>61</v>
      </c>
      <c r="B5" s="63">
        <v>12</v>
      </c>
      <c r="C5" s="63">
        <v>15</v>
      </c>
      <c r="D5" s="65">
        <v>20</v>
      </c>
      <c r="E5" s="65">
        <v>1.6</v>
      </c>
      <c r="F5" s="65">
        <v>1.1000000000000001</v>
      </c>
      <c r="G5" s="65">
        <v>2</v>
      </c>
      <c r="H5" s="73">
        <v>27000</v>
      </c>
      <c r="I5" s="73">
        <v>2</v>
      </c>
      <c r="J5" s="65">
        <v>1.8</v>
      </c>
      <c r="K5" s="65">
        <v>3.5</v>
      </c>
      <c r="L5" s="65">
        <v>2</v>
      </c>
      <c r="M5" s="65">
        <v>3.5</v>
      </c>
      <c r="N5" s="65">
        <v>1.75</v>
      </c>
      <c r="O5" s="74">
        <v>3.5</v>
      </c>
    </row>
    <row r="6" spans="1:15" x14ac:dyDescent="0.25">
      <c r="A6" s="59" t="s">
        <v>62</v>
      </c>
      <c r="B6" s="63">
        <v>16</v>
      </c>
      <c r="C6" s="63">
        <v>20</v>
      </c>
      <c r="D6" s="65">
        <v>24</v>
      </c>
      <c r="E6" s="65">
        <v>1.9</v>
      </c>
      <c r="F6" s="65">
        <v>1.3</v>
      </c>
      <c r="G6" s="65">
        <v>2.5</v>
      </c>
      <c r="H6" s="73">
        <v>29000</v>
      </c>
      <c r="I6" s="73">
        <v>2</v>
      </c>
      <c r="J6" s="65">
        <v>1.9</v>
      </c>
      <c r="K6" s="65">
        <v>3.5</v>
      </c>
      <c r="L6" s="65">
        <v>2</v>
      </c>
      <c r="M6" s="65">
        <v>3.5</v>
      </c>
      <c r="N6" s="65">
        <v>1.75</v>
      </c>
      <c r="O6" s="74">
        <v>3.5</v>
      </c>
    </row>
    <row r="7" spans="1:15" x14ac:dyDescent="0.25">
      <c r="A7" s="59" t="s">
        <v>59</v>
      </c>
      <c r="B7" s="63">
        <v>20</v>
      </c>
      <c r="C7" s="63">
        <v>25</v>
      </c>
      <c r="D7" s="65">
        <v>28</v>
      </c>
      <c r="E7" s="65">
        <v>2.2000000000000002</v>
      </c>
      <c r="F7" s="65">
        <v>1.5</v>
      </c>
      <c r="G7" s="65">
        <v>2.9</v>
      </c>
      <c r="H7" s="73">
        <v>30000</v>
      </c>
      <c r="I7" s="73">
        <v>2</v>
      </c>
      <c r="J7" s="65">
        <v>2</v>
      </c>
      <c r="K7" s="65">
        <v>3.5</v>
      </c>
      <c r="L7" s="65">
        <v>2</v>
      </c>
      <c r="M7" s="65">
        <v>3.5</v>
      </c>
      <c r="N7" s="65">
        <v>1.75</v>
      </c>
      <c r="O7" s="74">
        <v>3.5</v>
      </c>
    </row>
    <row r="8" spans="1:15" x14ac:dyDescent="0.25">
      <c r="A8" s="59" t="s">
        <v>63</v>
      </c>
      <c r="B8" s="63">
        <v>25</v>
      </c>
      <c r="C8" s="63">
        <v>30</v>
      </c>
      <c r="D8" s="65">
        <v>33</v>
      </c>
      <c r="E8" s="65">
        <v>2.6</v>
      </c>
      <c r="F8" s="65">
        <v>1.8</v>
      </c>
      <c r="G8" s="65">
        <v>3.3</v>
      </c>
      <c r="H8" s="73">
        <v>31000</v>
      </c>
      <c r="I8" s="73">
        <v>2</v>
      </c>
      <c r="J8" s="65">
        <v>2.1</v>
      </c>
      <c r="K8" s="65">
        <v>3.5</v>
      </c>
      <c r="L8" s="65">
        <v>2</v>
      </c>
      <c r="M8" s="65">
        <v>3.5</v>
      </c>
      <c r="N8" s="65">
        <v>1.75</v>
      </c>
      <c r="O8" s="74">
        <v>3.5</v>
      </c>
    </row>
    <row r="9" spans="1:15" x14ac:dyDescent="0.25">
      <c r="A9" s="59" t="s">
        <v>58</v>
      </c>
      <c r="B9" s="63">
        <v>30</v>
      </c>
      <c r="C9" s="63">
        <v>37</v>
      </c>
      <c r="D9" s="65">
        <v>38</v>
      </c>
      <c r="E9" s="65">
        <v>2.9</v>
      </c>
      <c r="F9" s="65">
        <v>2</v>
      </c>
      <c r="G9" s="65">
        <v>3.8</v>
      </c>
      <c r="H9" s="73">
        <v>33000</v>
      </c>
      <c r="I9" s="73">
        <v>2</v>
      </c>
      <c r="J9" s="65">
        <v>2.2000000000000002</v>
      </c>
      <c r="K9" s="65">
        <v>3.5</v>
      </c>
      <c r="L9" s="65">
        <v>2</v>
      </c>
      <c r="M9" s="65">
        <v>3.5</v>
      </c>
      <c r="N9" s="65">
        <v>1.75</v>
      </c>
      <c r="O9" s="74">
        <v>3.5</v>
      </c>
    </row>
    <row r="10" spans="1:15" x14ac:dyDescent="0.25">
      <c r="A10" s="59" t="s">
        <v>64</v>
      </c>
      <c r="B10" s="63">
        <v>35</v>
      </c>
      <c r="C10" s="63">
        <v>45</v>
      </c>
      <c r="D10" s="65">
        <v>43</v>
      </c>
      <c r="E10" s="65">
        <v>3.2</v>
      </c>
      <c r="F10" s="65">
        <v>2.2000000000000002</v>
      </c>
      <c r="G10" s="65">
        <v>4.2</v>
      </c>
      <c r="H10" s="73">
        <v>34000</v>
      </c>
      <c r="I10" s="73">
        <v>2</v>
      </c>
      <c r="J10" s="65">
        <v>2.25</v>
      </c>
      <c r="K10" s="65">
        <v>3.5</v>
      </c>
      <c r="L10" s="65">
        <v>2</v>
      </c>
      <c r="M10" s="65">
        <v>3.5</v>
      </c>
      <c r="N10" s="65">
        <v>1.75</v>
      </c>
      <c r="O10" s="74">
        <v>3.5</v>
      </c>
    </row>
    <row r="11" spans="1:15" x14ac:dyDescent="0.25">
      <c r="A11" s="59" t="s">
        <v>65</v>
      </c>
      <c r="B11" s="63">
        <v>40</v>
      </c>
      <c r="C11" s="63">
        <v>50</v>
      </c>
      <c r="D11" s="65">
        <v>48</v>
      </c>
      <c r="E11" s="65">
        <v>3.5</v>
      </c>
      <c r="F11" s="65">
        <v>2.5</v>
      </c>
      <c r="G11" s="65">
        <v>4.5999999999999996</v>
      </c>
      <c r="H11" s="73">
        <v>35000</v>
      </c>
      <c r="I11" s="73">
        <v>2</v>
      </c>
      <c r="J11" s="65">
        <v>2.2999999999999998</v>
      </c>
      <c r="K11" s="65">
        <v>3.5</v>
      </c>
      <c r="L11" s="65">
        <v>2</v>
      </c>
      <c r="M11" s="65">
        <v>3.5</v>
      </c>
      <c r="N11" s="65">
        <v>1.75</v>
      </c>
      <c r="O11" s="74">
        <v>3.5</v>
      </c>
    </row>
    <row r="12" spans="1:15" x14ac:dyDescent="0.25">
      <c r="A12" s="59" t="s">
        <v>66</v>
      </c>
      <c r="B12" s="63">
        <v>45</v>
      </c>
      <c r="C12" s="63">
        <v>55</v>
      </c>
      <c r="D12" s="65">
        <v>53</v>
      </c>
      <c r="E12" s="65">
        <v>3.8</v>
      </c>
      <c r="F12" s="65">
        <v>2.7</v>
      </c>
      <c r="G12" s="65">
        <v>4.9000000000000004</v>
      </c>
      <c r="H12" s="73">
        <v>36000</v>
      </c>
      <c r="I12" s="73">
        <v>2</v>
      </c>
      <c r="J12" s="65">
        <v>2.4</v>
      </c>
      <c r="K12" s="65">
        <v>3.5</v>
      </c>
      <c r="L12" s="65">
        <v>2</v>
      </c>
      <c r="M12" s="65">
        <v>3.5</v>
      </c>
      <c r="N12" s="65">
        <v>1.75</v>
      </c>
      <c r="O12" s="74">
        <v>3.5</v>
      </c>
    </row>
    <row r="13" spans="1:15" x14ac:dyDescent="0.25">
      <c r="A13" s="59" t="s">
        <v>60</v>
      </c>
      <c r="B13" s="63">
        <v>50</v>
      </c>
      <c r="C13" s="63">
        <v>60</v>
      </c>
      <c r="D13" s="65">
        <v>58</v>
      </c>
      <c r="E13" s="65">
        <v>4.0999999999999996</v>
      </c>
      <c r="F13" s="65">
        <v>2.9</v>
      </c>
      <c r="G13" s="65">
        <v>5.3</v>
      </c>
      <c r="H13" s="73">
        <v>37000</v>
      </c>
      <c r="I13" s="73">
        <v>2</v>
      </c>
      <c r="J13" s="65">
        <v>2.4500000000000002</v>
      </c>
      <c r="K13" s="65">
        <v>3.5</v>
      </c>
      <c r="L13" s="65">
        <v>2</v>
      </c>
      <c r="M13" s="65">
        <v>3.5</v>
      </c>
      <c r="N13" s="65">
        <v>1.75</v>
      </c>
      <c r="O13" s="74">
        <v>3.5</v>
      </c>
    </row>
    <row r="14" spans="1:15" x14ac:dyDescent="0.25">
      <c r="A14" s="59" t="s">
        <v>67</v>
      </c>
      <c r="B14" s="63">
        <v>55</v>
      </c>
      <c r="C14" s="63">
        <v>67</v>
      </c>
      <c r="D14" s="65">
        <v>63</v>
      </c>
      <c r="E14" s="65">
        <v>4.2</v>
      </c>
      <c r="F14" s="65">
        <v>3</v>
      </c>
      <c r="G14" s="65">
        <v>5.5</v>
      </c>
      <c r="H14" s="73">
        <v>38000</v>
      </c>
      <c r="I14" s="73">
        <v>1.75</v>
      </c>
      <c r="J14" s="65">
        <v>2.5</v>
      </c>
      <c r="K14" s="65">
        <v>3.2</v>
      </c>
      <c r="L14" s="65">
        <v>2.2000000000000002</v>
      </c>
      <c r="M14" s="65">
        <v>3.1</v>
      </c>
      <c r="N14" s="65">
        <v>1.8</v>
      </c>
      <c r="O14" s="74">
        <v>3.1</v>
      </c>
    </row>
    <row r="15" spans="1:15" x14ac:dyDescent="0.25">
      <c r="A15" s="59" t="s">
        <v>57</v>
      </c>
      <c r="B15" s="63">
        <v>60</v>
      </c>
      <c r="C15" s="63">
        <v>75</v>
      </c>
      <c r="D15" s="65">
        <v>68</v>
      </c>
      <c r="E15" s="65">
        <v>4.4000000000000004</v>
      </c>
      <c r="F15" s="65">
        <v>3.1</v>
      </c>
      <c r="G15" s="65">
        <v>5.7</v>
      </c>
      <c r="H15" s="73">
        <v>39000</v>
      </c>
      <c r="I15" s="73">
        <v>1.6</v>
      </c>
      <c r="J15" s="65">
        <v>2.6</v>
      </c>
      <c r="K15" s="65">
        <v>3</v>
      </c>
      <c r="L15" s="65">
        <v>2.2999999999999998</v>
      </c>
      <c r="M15" s="65">
        <v>2.9</v>
      </c>
      <c r="N15" s="65">
        <v>1.9</v>
      </c>
      <c r="O15" s="74">
        <v>2.9</v>
      </c>
    </row>
    <row r="16" spans="1:15" x14ac:dyDescent="0.25">
      <c r="A16" s="59" t="s">
        <v>68</v>
      </c>
      <c r="B16" s="63">
        <v>70</v>
      </c>
      <c r="C16" s="63">
        <v>85</v>
      </c>
      <c r="D16" s="65">
        <v>78</v>
      </c>
      <c r="E16" s="65">
        <v>4.5999999999999996</v>
      </c>
      <c r="F16" s="65">
        <v>3.2</v>
      </c>
      <c r="G16" s="65">
        <v>6</v>
      </c>
      <c r="H16" s="73">
        <v>41000</v>
      </c>
      <c r="I16" s="73">
        <v>1.45</v>
      </c>
      <c r="J16" s="65">
        <v>2.7</v>
      </c>
      <c r="K16" s="65">
        <v>2.8</v>
      </c>
      <c r="L16" s="65">
        <v>2.4</v>
      </c>
      <c r="M16" s="65">
        <v>2.7</v>
      </c>
      <c r="N16" s="65">
        <v>2</v>
      </c>
      <c r="O16" s="74">
        <v>2.7</v>
      </c>
    </row>
    <row r="17" spans="1:15" x14ac:dyDescent="0.25">
      <c r="A17" s="59" t="s">
        <v>69</v>
      </c>
      <c r="B17" s="63">
        <v>80</v>
      </c>
      <c r="C17" s="63">
        <v>95</v>
      </c>
      <c r="D17" s="65">
        <v>88</v>
      </c>
      <c r="E17" s="65">
        <v>4.8</v>
      </c>
      <c r="F17" s="65">
        <v>3.4</v>
      </c>
      <c r="G17" s="65">
        <v>6.3</v>
      </c>
      <c r="H17" s="73">
        <v>42000</v>
      </c>
      <c r="I17" s="73">
        <v>1.4</v>
      </c>
      <c r="J17" s="65">
        <v>2.8</v>
      </c>
      <c r="K17" s="65">
        <v>2.8</v>
      </c>
      <c r="L17" s="65">
        <v>2.5</v>
      </c>
      <c r="M17" s="65">
        <v>2.6</v>
      </c>
      <c r="N17" s="65">
        <v>2.2000000000000002</v>
      </c>
      <c r="O17" s="74">
        <v>2.6</v>
      </c>
    </row>
    <row r="18" spans="1:15" x14ac:dyDescent="0.25">
      <c r="A18" s="60" t="s">
        <v>70</v>
      </c>
      <c r="B18" s="64">
        <v>90</v>
      </c>
      <c r="C18" s="64">
        <v>105</v>
      </c>
      <c r="D18" s="66">
        <v>98</v>
      </c>
      <c r="E18" s="66">
        <v>5</v>
      </c>
      <c r="F18" s="66">
        <v>3.5</v>
      </c>
      <c r="G18" s="66">
        <v>6.7</v>
      </c>
      <c r="H18" s="75">
        <v>44000</v>
      </c>
      <c r="I18" s="75">
        <v>1.4</v>
      </c>
      <c r="J18" s="66">
        <v>2.8</v>
      </c>
      <c r="K18" s="66">
        <v>2.8</v>
      </c>
      <c r="L18" s="66">
        <v>2.6</v>
      </c>
      <c r="M18" s="66">
        <v>2.6</v>
      </c>
      <c r="N18" s="66">
        <v>2.2999999999999998</v>
      </c>
      <c r="O18" s="76">
        <v>2.6</v>
      </c>
    </row>
    <row r="20" spans="1:15" x14ac:dyDescent="0.25">
      <c r="A20" s="67" t="s">
        <v>72</v>
      </c>
      <c r="B20" s="68"/>
      <c r="C20" s="68"/>
      <c r="D20" s="69"/>
      <c r="F20" s="67" t="s">
        <v>73</v>
      </c>
      <c r="G20" s="68"/>
      <c r="H20" s="68"/>
      <c r="I20" s="69"/>
    </row>
    <row r="21" spans="1:15" x14ac:dyDescent="0.25">
      <c r="A21" s="78"/>
      <c r="B21" s="79"/>
      <c r="C21" s="79"/>
      <c r="D21" s="80"/>
      <c r="F21" s="78"/>
      <c r="G21" s="79"/>
      <c r="H21" s="79"/>
      <c r="I21" s="80"/>
    </row>
    <row r="22" spans="1:15" x14ac:dyDescent="0.25">
      <c r="A22" s="81" t="s">
        <v>75</v>
      </c>
      <c r="B22" s="82"/>
      <c r="C22" s="82"/>
      <c r="D22" s="83"/>
      <c r="F22" s="84" t="s">
        <v>74</v>
      </c>
      <c r="G22" s="77"/>
      <c r="H22" s="77"/>
      <c r="I22" s="85"/>
    </row>
    <row r="23" spans="1:15" x14ac:dyDescent="0.25">
      <c r="A23" s="84" t="s">
        <v>76</v>
      </c>
      <c r="B23" s="77"/>
      <c r="C23" s="77"/>
      <c r="D23" s="85"/>
      <c r="F23" s="86" t="s">
        <v>77</v>
      </c>
      <c r="G23" s="87"/>
      <c r="H23" s="87"/>
      <c r="I23" s="88"/>
    </row>
    <row r="24" spans="1:15" x14ac:dyDescent="0.25">
      <c r="A24" s="86" t="s">
        <v>71</v>
      </c>
      <c r="B24" s="87"/>
      <c r="C24" s="87"/>
      <c r="D24" s="88"/>
    </row>
  </sheetData>
  <mergeCells count="11">
    <mergeCell ref="F23:I23"/>
    <mergeCell ref="A23:D23"/>
    <mergeCell ref="A24:D24"/>
    <mergeCell ref="A20:D21"/>
    <mergeCell ref="A1:O1"/>
    <mergeCell ref="I3:I4"/>
    <mergeCell ref="A3:A4"/>
    <mergeCell ref="A2:O2"/>
    <mergeCell ref="A22:D22"/>
    <mergeCell ref="F20:I21"/>
    <mergeCell ref="F22:I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DC34-C700-46E9-991C-44AFA90DFED1}">
  <sheetPr codeName="Foglio1"/>
  <dimension ref="A1:O13"/>
  <sheetViews>
    <sheetView workbookViewId="0">
      <selection activeCell="F17" sqref="F17"/>
    </sheetView>
  </sheetViews>
  <sheetFormatPr defaultRowHeight="15" x14ac:dyDescent="0.25"/>
  <sheetData>
    <row r="1" spans="1:15" x14ac:dyDescent="0.25">
      <c r="A1" s="90" t="s">
        <v>78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2"/>
    </row>
    <row r="2" spans="1:15" x14ac:dyDescent="0.25">
      <c r="A2" s="97" t="s">
        <v>79</v>
      </c>
      <c r="B2" s="94"/>
      <c r="C2" s="93" t="s">
        <v>75</v>
      </c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8"/>
    </row>
    <row r="3" spans="1:15" x14ac:dyDescent="0.25">
      <c r="A3" s="99"/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100"/>
    </row>
    <row r="4" spans="1:15" ht="18" x14ac:dyDescent="0.25">
      <c r="A4" s="31" t="s">
        <v>1</v>
      </c>
      <c r="B4" s="57" t="s">
        <v>18</v>
      </c>
      <c r="C4" s="57" t="s">
        <v>47</v>
      </c>
      <c r="D4" s="57" t="s">
        <v>48</v>
      </c>
      <c r="E4" s="57" t="s">
        <v>49</v>
      </c>
      <c r="F4" s="57" t="s">
        <v>50</v>
      </c>
      <c r="G4" s="26" t="s">
        <v>51</v>
      </c>
      <c r="H4" s="4" t="s">
        <v>52</v>
      </c>
      <c r="I4" s="32" t="s">
        <v>2</v>
      </c>
      <c r="J4" s="25" t="s">
        <v>53</v>
      </c>
      <c r="K4" s="57" t="s">
        <v>54</v>
      </c>
      <c r="L4" s="57" t="s">
        <v>3</v>
      </c>
      <c r="M4" s="57" t="s">
        <v>4</v>
      </c>
      <c r="N4" s="57" t="s">
        <v>55</v>
      </c>
      <c r="O4" s="26" t="s">
        <v>56</v>
      </c>
    </row>
    <row r="5" spans="1:15" x14ac:dyDescent="0.25">
      <c r="A5" s="31"/>
      <c r="B5" s="57" t="s">
        <v>0</v>
      </c>
      <c r="C5" s="57" t="s">
        <v>0</v>
      </c>
      <c r="D5" s="57" t="s">
        <v>0</v>
      </c>
      <c r="E5" s="57" t="s">
        <v>0</v>
      </c>
      <c r="F5" s="57" t="s">
        <v>0</v>
      </c>
      <c r="G5" s="26" t="s">
        <v>0</v>
      </c>
      <c r="H5" s="4" t="s">
        <v>0</v>
      </c>
      <c r="I5" s="32"/>
      <c r="J5" s="25" t="s">
        <v>5</v>
      </c>
      <c r="K5" s="57" t="s">
        <v>5</v>
      </c>
      <c r="L5" s="57" t="s">
        <v>5</v>
      </c>
      <c r="M5" s="57" t="s">
        <v>5</v>
      </c>
      <c r="N5" s="57" t="s">
        <v>5</v>
      </c>
      <c r="O5" s="26" t="s">
        <v>5</v>
      </c>
    </row>
    <row r="6" spans="1:15" x14ac:dyDescent="0.25">
      <c r="A6" s="89" t="s">
        <v>63</v>
      </c>
      <c r="B6" s="27">
        <v>25</v>
      </c>
      <c r="C6" s="27">
        <v>30</v>
      </c>
      <c r="D6" s="27">
        <v>33</v>
      </c>
      <c r="E6" s="27">
        <v>2.6</v>
      </c>
      <c r="F6" s="27">
        <v>1.8</v>
      </c>
      <c r="G6" s="28">
        <v>3.3</v>
      </c>
      <c r="H6" s="29">
        <v>31000</v>
      </c>
      <c r="I6" s="27">
        <v>2</v>
      </c>
      <c r="J6" s="30">
        <v>2.1</v>
      </c>
      <c r="K6" s="27">
        <v>3.5</v>
      </c>
      <c r="L6" s="27">
        <v>2</v>
      </c>
      <c r="M6" s="27">
        <v>3.5</v>
      </c>
      <c r="N6" s="27">
        <v>1.75</v>
      </c>
      <c r="O6" s="28">
        <v>3.5</v>
      </c>
    </row>
    <row r="8" spans="1:15" x14ac:dyDescent="0.25">
      <c r="B8" s="90" t="s">
        <v>28</v>
      </c>
      <c r="C8" s="91"/>
      <c r="D8" s="91"/>
      <c r="E8" s="91"/>
      <c r="F8" s="91"/>
      <c r="G8" s="92"/>
      <c r="I8" s="90" t="s">
        <v>29</v>
      </c>
      <c r="J8" s="91"/>
      <c r="K8" s="91"/>
      <c r="L8" s="91"/>
      <c r="M8" s="91"/>
      <c r="N8" s="92"/>
    </row>
    <row r="9" spans="1:15" x14ac:dyDescent="0.25">
      <c r="B9" s="97" t="s">
        <v>79</v>
      </c>
      <c r="C9" s="94"/>
      <c r="D9" s="93" t="s">
        <v>74</v>
      </c>
      <c r="E9" s="93"/>
      <c r="F9" s="93"/>
      <c r="G9" s="98"/>
      <c r="I9" s="97" t="s">
        <v>79</v>
      </c>
      <c r="J9" s="94"/>
      <c r="K9" s="93" t="s">
        <v>74</v>
      </c>
      <c r="L9" s="93"/>
      <c r="M9" s="93"/>
      <c r="N9" s="98"/>
    </row>
    <row r="10" spans="1:15" x14ac:dyDescent="0.25">
      <c r="B10" s="99"/>
      <c r="C10" s="95"/>
      <c r="D10" s="96"/>
      <c r="E10" s="96"/>
      <c r="F10" s="96"/>
      <c r="G10" s="100"/>
      <c r="I10" s="99"/>
      <c r="J10" s="95"/>
      <c r="K10" s="96"/>
      <c r="L10" s="96"/>
      <c r="M10" s="96"/>
      <c r="N10" s="100"/>
    </row>
    <row r="11" spans="1:15" ht="18" x14ac:dyDescent="0.25">
      <c r="B11" s="31" t="s">
        <v>1</v>
      </c>
      <c r="C11" s="57" t="s">
        <v>24</v>
      </c>
      <c r="D11" s="57" t="s">
        <v>15</v>
      </c>
      <c r="E11" s="4" t="s">
        <v>27</v>
      </c>
      <c r="F11" s="57" t="s">
        <v>25</v>
      </c>
      <c r="G11" s="26" t="s">
        <v>26</v>
      </c>
      <c r="I11" s="31" t="s">
        <v>1</v>
      </c>
      <c r="J11" s="57" t="s">
        <v>24</v>
      </c>
      <c r="K11" s="57" t="s">
        <v>15</v>
      </c>
      <c r="L11" s="4" t="s">
        <v>27</v>
      </c>
      <c r="M11" s="57" t="s">
        <v>25</v>
      </c>
      <c r="N11" s="26" t="s">
        <v>26</v>
      </c>
    </row>
    <row r="12" spans="1:15" x14ac:dyDescent="0.25">
      <c r="B12" s="31"/>
      <c r="C12" s="57" t="s">
        <v>0</v>
      </c>
      <c r="D12" s="57" t="s">
        <v>0</v>
      </c>
      <c r="E12" s="4" t="s">
        <v>0</v>
      </c>
      <c r="F12" s="57" t="s">
        <v>5</v>
      </c>
      <c r="G12" s="26" t="s">
        <v>5</v>
      </c>
      <c r="I12" s="31"/>
      <c r="J12" s="57" t="s">
        <v>0</v>
      </c>
      <c r="K12" s="57" t="s">
        <v>0</v>
      </c>
      <c r="L12" s="4" t="s">
        <v>0</v>
      </c>
      <c r="M12" s="57" t="s">
        <v>5</v>
      </c>
      <c r="N12" s="26" t="s">
        <v>5</v>
      </c>
    </row>
    <row r="13" spans="1:15" x14ac:dyDescent="0.25">
      <c r="B13" s="89" t="s">
        <v>39</v>
      </c>
      <c r="C13" s="27">
        <v>450</v>
      </c>
      <c r="D13" s="27">
        <v>391.304347826087</v>
      </c>
      <c r="E13" s="29">
        <v>210000</v>
      </c>
      <c r="F13" s="27">
        <v>1.8633540372670809</v>
      </c>
      <c r="G13" s="28">
        <v>10</v>
      </c>
      <c r="I13" s="89" t="s">
        <v>39</v>
      </c>
      <c r="J13" s="27">
        <v>450</v>
      </c>
      <c r="K13" s="27">
        <v>391.304347826087</v>
      </c>
      <c r="L13" s="29">
        <v>210000</v>
      </c>
      <c r="M13" s="27">
        <v>1.8633540372670809</v>
      </c>
      <c r="N13" s="28">
        <v>10</v>
      </c>
    </row>
  </sheetData>
  <mergeCells count="13">
    <mergeCell ref="A1:O1"/>
    <mergeCell ref="A4:A5"/>
    <mergeCell ref="I4:I5"/>
    <mergeCell ref="A2:B3"/>
    <mergeCell ref="C2:O3"/>
    <mergeCell ref="B8:G8"/>
    <mergeCell ref="B9:C10"/>
    <mergeCell ref="D9:G10"/>
    <mergeCell ref="B11:B12"/>
    <mergeCell ref="I8:N8"/>
    <mergeCell ref="I9:J10"/>
    <mergeCell ref="K9:N10"/>
    <mergeCell ref="I11:I12"/>
  </mergeCells>
  <dataValidations count="2">
    <dataValidation type="list" allowBlank="1" showInputMessage="1" showErrorMessage="1" sqref="B13 I13" xr:uid="{7E6F93FF-01E0-44DF-834E-54547D06661D}">
      <formula1>"B450C,B450A"</formula1>
    </dataValidation>
    <dataValidation type="list" allowBlank="1" showInputMessage="1" showErrorMessage="1" sqref="A6" xr:uid="{1829FAE7-8F53-401C-829D-BD277F2E72C8}">
      <formula1>"C12/15,C16/20,C20/25,C25/30,C30/37,C35/45,C40/50,C45/55,C50/60,C55/67,C60/75,C70/85,C80/95,C90/105"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5A2CAB-A74C-4529-B418-16A1C2EA867B}">
          <x14:formula1>
            <xm:f>Utils!$A$22:$A$24</xm:f>
          </x14:formula1>
          <xm:sqref>C2</xm:sqref>
        </x14:dataValidation>
        <x14:dataValidation type="list" allowBlank="1" showInputMessage="1" showErrorMessage="1" xr:uid="{69B3019F-D201-4E20-85CA-BC1F6B1B9CF2}">
          <x14:formula1>
            <xm:f>Utils!$F$22:$F$23</xm:f>
          </x14:formula1>
          <xm:sqref>D9:G10 K9:N10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3572F-2ECE-450D-8517-C755BA4E0C5C}">
  <sheetPr codeName="Foglio2"/>
  <dimension ref="A1:Q12"/>
  <sheetViews>
    <sheetView tabSelected="1" zoomScaleNormal="100" workbookViewId="0">
      <selection activeCell="G17" sqref="G17"/>
    </sheetView>
  </sheetViews>
  <sheetFormatPr defaultColWidth="8.7109375" defaultRowHeight="15" x14ac:dyDescent="0.25"/>
  <cols>
    <col min="4" max="4" width="8.7109375" customWidth="1"/>
  </cols>
  <sheetData>
    <row r="1" spans="1:17" x14ac:dyDescent="0.25">
      <c r="A1" s="35" t="s">
        <v>36</v>
      </c>
      <c r="B1" s="36"/>
      <c r="C1" s="37"/>
      <c r="E1" s="35" t="s">
        <v>44</v>
      </c>
      <c r="F1" s="36"/>
      <c r="G1" s="36"/>
      <c r="H1" s="36"/>
      <c r="I1" s="36"/>
      <c r="J1" s="36"/>
      <c r="K1" s="36"/>
      <c r="L1" s="36"/>
      <c r="M1" s="36"/>
      <c r="N1" s="36"/>
      <c r="O1" s="37"/>
    </row>
    <row r="2" spans="1:17" x14ac:dyDescent="0.25">
      <c r="A2" s="41" t="s">
        <v>37</v>
      </c>
      <c r="B2" s="42"/>
      <c r="C2" s="43"/>
      <c r="E2" s="38"/>
      <c r="F2" s="39"/>
      <c r="G2" s="39"/>
      <c r="H2" s="39"/>
      <c r="I2" s="39"/>
      <c r="J2" s="39"/>
      <c r="K2" s="39"/>
      <c r="L2" s="39"/>
      <c r="M2" s="39"/>
      <c r="N2" s="39"/>
      <c r="O2" s="40"/>
    </row>
    <row r="3" spans="1:17" ht="18" x14ac:dyDescent="0.25">
      <c r="A3" s="7" t="s">
        <v>31</v>
      </c>
      <c r="B3" s="3" t="s">
        <v>32</v>
      </c>
      <c r="C3" s="8" t="s">
        <v>33</v>
      </c>
      <c r="E3" s="7" t="s">
        <v>9</v>
      </c>
      <c r="F3" s="3" t="s">
        <v>7</v>
      </c>
      <c r="G3" s="3" t="s">
        <v>8</v>
      </c>
      <c r="H3" s="2" t="s">
        <v>22</v>
      </c>
      <c r="I3" s="2" t="s">
        <v>10</v>
      </c>
      <c r="J3" s="3" t="s">
        <v>12</v>
      </c>
      <c r="K3" s="3" t="s">
        <v>6</v>
      </c>
      <c r="L3" s="3" t="s">
        <v>16</v>
      </c>
      <c r="M3" s="3" t="s">
        <v>23</v>
      </c>
      <c r="N3" s="3" t="s">
        <v>13</v>
      </c>
      <c r="O3" s="8" t="s">
        <v>14</v>
      </c>
    </row>
    <row r="4" spans="1:17" ht="17.25" x14ac:dyDescent="0.25">
      <c r="A4" s="11" t="s">
        <v>35</v>
      </c>
      <c r="B4" s="1" t="s">
        <v>34</v>
      </c>
      <c r="C4" s="6" t="s">
        <v>34</v>
      </c>
      <c r="E4" s="11" t="s">
        <v>11</v>
      </c>
      <c r="F4" s="1" t="s">
        <v>11</v>
      </c>
      <c r="G4" s="1" t="s">
        <v>11</v>
      </c>
      <c r="H4" s="1" t="s">
        <v>11</v>
      </c>
      <c r="I4" s="9" t="s">
        <v>41</v>
      </c>
      <c r="J4" s="1" t="s">
        <v>11</v>
      </c>
      <c r="K4" s="1" t="s">
        <v>11</v>
      </c>
      <c r="L4" s="1" t="s">
        <v>11</v>
      </c>
      <c r="M4" s="1" t="s">
        <v>11</v>
      </c>
      <c r="N4" s="1" t="s">
        <v>17</v>
      </c>
      <c r="O4" s="6" t="s">
        <v>17</v>
      </c>
    </row>
    <row r="5" spans="1:17" ht="15.75" thickBot="1" x14ac:dyDescent="0.3">
      <c r="A5" s="12">
        <v>400</v>
      </c>
      <c r="B5" s="13">
        <v>79</v>
      </c>
      <c r="C5" s="14">
        <v>78</v>
      </c>
      <c r="E5" s="18">
        <v>50</v>
      </c>
      <c r="F5" s="19">
        <v>40</v>
      </c>
      <c r="G5" s="19">
        <v>40</v>
      </c>
      <c r="H5" s="19">
        <v>10</v>
      </c>
      <c r="I5" s="19">
        <v>0.2</v>
      </c>
      <c r="J5" s="19">
        <v>200</v>
      </c>
      <c r="K5" s="16"/>
      <c r="L5" s="16"/>
      <c r="M5" s="16"/>
      <c r="N5" s="16"/>
      <c r="O5" s="17"/>
    </row>
    <row r="6" spans="1:17" ht="15.75" thickBot="1" x14ac:dyDescent="0.3"/>
    <row r="7" spans="1:17" x14ac:dyDescent="0.25">
      <c r="E7" s="35" t="s">
        <v>42</v>
      </c>
      <c r="F7" s="36"/>
      <c r="G7" s="36"/>
      <c r="H7" s="36"/>
      <c r="I7" s="36"/>
      <c r="J7" s="36"/>
      <c r="K7" s="37"/>
      <c r="O7" s="35" t="s">
        <v>30</v>
      </c>
      <c r="P7" s="36"/>
      <c r="Q7" s="37"/>
    </row>
    <row r="8" spans="1:17" x14ac:dyDescent="0.25">
      <c r="E8" s="41"/>
      <c r="F8" s="42"/>
      <c r="G8" s="42"/>
      <c r="H8" s="42"/>
      <c r="I8" s="42"/>
      <c r="J8" s="42"/>
      <c r="K8" s="43"/>
      <c r="O8" s="41"/>
      <c r="P8" s="42"/>
      <c r="Q8" s="43"/>
    </row>
    <row r="9" spans="1:17" x14ac:dyDescent="0.25">
      <c r="E9" s="23" t="s">
        <v>6</v>
      </c>
      <c r="F9" s="44" t="s">
        <v>14</v>
      </c>
      <c r="G9" s="45"/>
      <c r="H9" s="46"/>
      <c r="I9" s="44" t="s">
        <v>13</v>
      </c>
      <c r="J9" s="45"/>
      <c r="K9" s="52"/>
      <c r="O9" s="55" t="s">
        <v>19</v>
      </c>
      <c r="P9" s="56" t="s">
        <v>20</v>
      </c>
      <c r="Q9" s="10" t="s">
        <v>21</v>
      </c>
    </row>
    <row r="10" spans="1:17" ht="17.25" x14ac:dyDescent="0.25">
      <c r="E10" s="5" t="s">
        <v>11</v>
      </c>
      <c r="F10" s="47" t="s">
        <v>17</v>
      </c>
      <c r="G10" s="48"/>
      <c r="H10" s="32"/>
      <c r="I10" s="47" t="s">
        <v>17</v>
      </c>
      <c r="J10" s="48"/>
      <c r="K10" s="53"/>
      <c r="O10" s="55"/>
      <c r="P10" s="56"/>
      <c r="Q10" s="10" t="s">
        <v>38</v>
      </c>
    </row>
    <row r="11" spans="1:17" ht="15.75" thickBot="1" x14ac:dyDescent="0.3">
      <c r="E11" s="33">
        <v>500</v>
      </c>
      <c r="F11" s="21">
        <v>9</v>
      </c>
      <c r="G11" s="20" t="s">
        <v>40</v>
      </c>
      <c r="H11" s="22">
        <v>16</v>
      </c>
      <c r="I11" s="21">
        <v>2</v>
      </c>
      <c r="J11" s="20" t="s">
        <v>40</v>
      </c>
      <c r="K11" s="24">
        <v>28</v>
      </c>
      <c r="O11" s="15">
        <v>0.80952380952380953</v>
      </c>
      <c r="P11" s="16">
        <v>0.41596638655462187</v>
      </c>
      <c r="Q11" s="17">
        <v>0.25925925925925924</v>
      </c>
    </row>
    <row r="12" spans="1:17" ht="15.75" thickBot="1" x14ac:dyDescent="0.3">
      <c r="E12" s="34"/>
      <c r="F12" s="49">
        <v>789995</v>
      </c>
      <c r="G12" s="50"/>
      <c r="H12" s="51"/>
      <c r="I12" s="49">
        <f>I11*PI()*K11^2/4</f>
        <v>1231.5043202071988</v>
      </c>
      <c r="J12" s="50"/>
      <c r="K12" s="54"/>
    </row>
  </sheetData>
  <mergeCells count="14">
    <mergeCell ref="A1:C1"/>
    <mergeCell ref="O7:Q8"/>
    <mergeCell ref="A2:C2"/>
    <mergeCell ref="O9:O10"/>
    <mergeCell ref="P9:P10"/>
    <mergeCell ref="E11:E12"/>
    <mergeCell ref="E1:O2"/>
    <mergeCell ref="E7:K8"/>
    <mergeCell ref="F9:H9"/>
    <mergeCell ref="F10:H10"/>
    <mergeCell ref="F12:H12"/>
    <mergeCell ref="I9:K9"/>
    <mergeCell ref="I10:K10"/>
    <mergeCell ref="I12:K12"/>
  </mergeCells>
  <dataValidations count="4">
    <dataValidation allowBlank="1" showInputMessage="1" showErrorMessage="1" promptTitle="Convenzione segni" prompt="Positivo in compressione" sqref="B5" xr:uid="{A1354E16-F1F9-418F-9647-FAEB91B7F2A8}"/>
    <dataValidation type="list" allowBlank="1" showInputMessage="1" showErrorMessage="1" sqref="I11" xr:uid="{7234D349-9ACB-4CB9-9055-3D0D3FCE4A95}">
      <formula1>"1,2,3,4,5,6,7,8,9,10,12"</formula1>
    </dataValidation>
    <dataValidation type="list" allowBlank="1" showInputMessage="1" showErrorMessage="1" sqref="H11 K11" xr:uid="{A3997790-E421-4350-806A-0462178130DD}">
      <formula1>"6,8,10,12,14,16,18,20,22,24,25,26,28,30,32"</formula1>
    </dataValidation>
    <dataValidation type="list" allowBlank="1" showInputMessage="1" showErrorMessage="1" sqref="F11" xr:uid="{47365FA5-4128-48D7-AE03-CC813F1053C2}">
      <formula1>"-,1,2,3,4,5,6,7,8,9,10,12"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" r:id="rId4" name="OptionButton8">
          <controlPr defaultSize="0" autoLine="0" r:id="rId5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2</xdr:col>
                <xdr:colOff>57150</xdr:colOff>
                <xdr:row>8</xdr:row>
                <xdr:rowOff>66675</xdr:rowOff>
              </to>
            </anchor>
          </controlPr>
        </control>
      </mc:Choice>
      <mc:Fallback>
        <control shapeId="3102" r:id="rId4" name="OptionButton8"/>
      </mc:Fallback>
    </mc:AlternateContent>
    <mc:AlternateContent xmlns:mc="http://schemas.openxmlformats.org/markup-compatibility/2006">
      <mc:Choice Requires="x14">
        <control shapeId="3101" r:id="rId6" name="OptionButton7">
          <controlPr defaultSize="0" autoLine="0" r:id="rId7">
            <anchor moveWithCells="1">
              <from>
                <xdr:col>0</xdr:col>
                <xdr:colOff>0</xdr:colOff>
                <xdr:row>5</xdr:row>
                <xdr:rowOff>171450</xdr:rowOff>
              </from>
              <to>
                <xdr:col>2</xdr:col>
                <xdr:colOff>57150</xdr:colOff>
                <xdr:row>6</xdr:row>
                <xdr:rowOff>171450</xdr:rowOff>
              </to>
            </anchor>
          </controlPr>
        </control>
      </mc:Choice>
      <mc:Fallback>
        <control shapeId="3101" r:id="rId6" name="OptionButton7"/>
      </mc:Fallback>
    </mc:AlternateContent>
    <mc:AlternateContent xmlns:mc="http://schemas.openxmlformats.org/markup-compatibility/2006">
      <mc:Choice Requires="x14">
        <control shapeId="3096" r:id="rId8" name="Button 24">
          <controlPr defaultSize="0" print="0" autoFill="0" autoPict="0">
            <anchor moveWithCells="1" sizeWithCells="1">
              <from>
                <xdr:col>0</xdr:col>
                <xdr:colOff>0</xdr:colOff>
                <xdr:row>8</xdr:row>
                <xdr:rowOff>76200</xdr:rowOff>
              </from>
              <to>
                <xdr:col>2</xdr:col>
                <xdr:colOff>390525</xdr:colOff>
                <xdr:row>11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BF184-E90B-43D9-925D-4C466280D12D}">
  <sheetPr codeName="Foglio4"/>
  <dimension ref="A1:K5"/>
  <sheetViews>
    <sheetView workbookViewId="0">
      <selection activeCell="F17" sqref="F17"/>
    </sheetView>
  </sheetViews>
  <sheetFormatPr defaultRowHeight="15" x14ac:dyDescent="0.25"/>
  <sheetData>
    <row r="1" spans="1:11" x14ac:dyDescent="0.25">
      <c r="A1" s="35" t="s">
        <v>43</v>
      </c>
      <c r="B1" s="36"/>
      <c r="C1" s="36"/>
      <c r="D1" s="36"/>
      <c r="E1" s="36"/>
      <c r="F1" s="36"/>
      <c r="G1" s="36"/>
      <c r="H1" s="36"/>
      <c r="I1" s="36"/>
      <c r="J1" s="36"/>
      <c r="K1" s="37"/>
    </row>
    <row r="2" spans="1:11" x14ac:dyDescent="0.25">
      <c r="A2" s="38"/>
      <c r="B2" s="39"/>
      <c r="C2" s="39"/>
      <c r="D2" s="39"/>
      <c r="E2" s="39"/>
      <c r="F2" s="39"/>
      <c r="G2" s="39"/>
      <c r="H2" s="39"/>
      <c r="I2" s="39"/>
      <c r="J2" s="39"/>
      <c r="K2" s="40"/>
    </row>
    <row r="3" spans="1:11" ht="18" x14ac:dyDescent="0.25">
      <c r="A3" s="7" t="s">
        <v>9</v>
      </c>
      <c r="B3" s="3" t="s">
        <v>7</v>
      </c>
      <c r="C3" s="3" t="s">
        <v>8</v>
      </c>
      <c r="D3" s="2" t="s">
        <v>22</v>
      </c>
      <c r="E3" s="2" t="s">
        <v>10</v>
      </c>
      <c r="F3" s="3" t="s">
        <v>12</v>
      </c>
      <c r="G3" s="3" t="s">
        <v>6</v>
      </c>
      <c r="H3" s="3" t="s">
        <v>16</v>
      </c>
      <c r="I3" s="3" t="s">
        <v>23</v>
      </c>
      <c r="J3" s="3" t="s">
        <v>13</v>
      </c>
      <c r="K3" s="8" t="s">
        <v>14</v>
      </c>
    </row>
    <row r="4" spans="1:11" ht="17.25" x14ac:dyDescent="0.25">
      <c r="A4" s="11" t="s">
        <v>11</v>
      </c>
      <c r="B4" s="1" t="s">
        <v>11</v>
      </c>
      <c r="C4" s="1" t="s">
        <v>11</v>
      </c>
      <c r="D4" s="1" t="s">
        <v>11</v>
      </c>
      <c r="E4" s="9" t="s">
        <v>41</v>
      </c>
      <c r="F4" s="1" t="s">
        <v>11</v>
      </c>
      <c r="G4" s="1" t="s">
        <v>11</v>
      </c>
      <c r="H4" s="1" t="s">
        <v>11</v>
      </c>
      <c r="I4" s="1" t="s">
        <v>11</v>
      </c>
      <c r="J4" s="1" t="s">
        <v>17</v>
      </c>
      <c r="K4" s="6" t="s">
        <v>17</v>
      </c>
    </row>
    <row r="5" spans="1:11" ht="15.75" thickBot="1" x14ac:dyDescent="0.3">
      <c r="A5" s="15"/>
      <c r="B5" s="16"/>
      <c r="C5" s="16"/>
      <c r="D5" s="16"/>
      <c r="E5" s="16"/>
      <c r="F5" s="16"/>
      <c r="G5" s="16"/>
      <c r="H5" s="16"/>
      <c r="I5" s="16"/>
      <c r="J5" s="16"/>
      <c r="K5" s="17"/>
    </row>
  </sheetData>
  <mergeCells count="1">
    <mergeCell ref="A1:K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9CCBA-D704-4A41-A091-EBE11122C3B3}">
  <sheetPr codeName="Foglio3"/>
  <dimension ref="A1"/>
  <sheetViews>
    <sheetView zoomScaleNormal="100" workbookViewId="0">
      <selection activeCell="E9" sqref="E9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Utils</vt:lpstr>
      <vt:lpstr>Materiali</vt:lpstr>
      <vt:lpstr>SLU Progetto</vt:lpstr>
      <vt:lpstr>SLU Verifica</vt:lpstr>
      <vt:lpstr>Taglio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gredi</dc:creator>
  <cp:lastModifiedBy>admin</cp:lastModifiedBy>
  <dcterms:created xsi:type="dcterms:W3CDTF">2019-04-17T22:31:32Z</dcterms:created>
  <dcterms:modified xsi:type="dcterms:W3CDTF">2023-08-05T01:21:23Z</dcterms:modified>
</cp:coreProperties>
</file>